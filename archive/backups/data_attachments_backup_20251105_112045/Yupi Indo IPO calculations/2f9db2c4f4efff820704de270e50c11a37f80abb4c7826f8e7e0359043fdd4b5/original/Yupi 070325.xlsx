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.SEB\Desktop\Sebastian\Ex-SG Research\Yupi Jelly IPO\"/>
    </mc:Choice>
  </mc:AlternateContent>
  <xr:revisionPtr revIDLastSave="0" documentId="13_ncr:1_{7AC52ED5-CA51-476A-9662-1D3769962E4E}" xr6:coauthVersionLast="47" xr6:coauthVersionMax="47" xr10:uidLastSave="{00000000-0000-0000-0000-000000000000}"/>
  <bookViews>
    <workbookView xWindow="28680" yWindow="-240" windowWidth="29040" windowHeight="15720" xr2:uid="{9E9DE416-284D-4CD3-AC8B-52F61FD63B9C}"/>
  </bookViews>
  <sheets>
    <sheet name="Yupi Calc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4" l="1"/>
  <c r="I60" i="4"/>
  <c r="I59" i="4"/>
  <c r="I58" i="4"/>
  <c r="I57" i="4"/>
  <c r="I56" i="4"/>
  <c r="I55" i="4"/>
  <c r="I54" i="4"/>
  <c r="H63" i="4"/>
  <c r="H61" i="4"/>
  <c r="I51" i="4"/>
  <c r="I50" i="4"/>
  <c r="G8" i="4"/>
  <c r="J39" i="4"/>
  <c r="I39" i="4"/>
  <c r="J48" i="4"/>
  <c r="J47" i="4"/>
  <c r="J46" i="4"/>
  <c r="J44" i="4"/>
  <c r="J43" i="4"/>
  <c r="J42" i="4"/>
  <c r="J38" i="4"/>
  <c r="J35" i="4"/>
  <c r="J27" i="4"/>
  <c r="J32" i="4" s="1"/>
  <c r="I32" i="4"/>
  <c r="I35" i="4"/>
  <c r="I48" i="4" s="1"/>
  <c r="F48" i="4"/>
  <c r="F47" i="4"/>
  <c r="F46" i="4"/>
  <c r="I44" i="4"/>
  <c r="I43" i="4"/>
  <c r="I42" i="4"/>
  <c r="F44" i="4"/>
  <c r="F43" i="4"/>
  <c r="F42" i="4"/>
  <c r="G22" i="4"/>
  <c r="G21" i="4"/>
  <c r="G20" i="4"/>
  <c r="C22" i="4"/>
  <c r="G18" i="4"/>
  <c r="G17" i="4"/>
  <c r="G13" i="4"/>
  <c r="G16" i="4" s="1"/>
  <c r="I46" i="4" l="1"/>
  <c r="I47" i="4"/>
  <c r="H39" i="4" l="1"/>
  <c r="I38" i="4" s="1"/>
  <c r="I40" i="4" s="1"/>
  <c r="F39" i="4"/>
  <c r="E39" i="4"/>
  <c r="C14" i="4"/>
  <c r="C18" i="4" s="1"/>
  <c r="H28" i="4"/>
  <c r="F28" i="4"/>
  <c r="E28" i="4"/>
  <c r="H40" i="4"/>
  <c r="G40" i="4"/>
  <c r="F40" i="4"/>
  <c r="E40" i="4"/>
  <c r="D40" i="4"/>
  <c r="H36" i="4"/>
  <c r="G36" i="4"/>
  <c r="F36" i="4"/>
  <c r="E36" i="4"/>
  <c r="D36" i="4"/>
  <c r="H33" i="4"/>
  <c r="G33" i="4"/>
  <c r="F33" i="4"/>
  <c r="E33" i="4"/>
  <c r="D33" i="4"/>
  <c r="G30" i="4"/>
  <c r="I27" i="4" s="1"/>
  <c r="I28" i="4" s="1"/>
  <c r="C17" i="4"/>
  <c r="C21" i="4" s="1"/>
  <c r="C16" i="4"/>
  <c r="C20" i="4" s="1"/>
  <c r="C9" i="4"/>
  <c r="C11" i="4" s="1"/>
  <c r="D8" i="4"/>
  <c r="D7" i="4"/>
  <c r="D9" i="4" l="1"/>
</calcChain>
</file>

<file path=xl/sharedStrings.xml><?xml version="1.0" encoding="utf-8"?>
<sst xmlns="http://schemas.openxmlformats.org/spreadsheetml/2006/main" count="77" uniqueCount="54">
  <si>
    <t>Others</t>
  </si>
  <si>
    <t>Gross Profit</t>
  </si>
  <si>
    <t>EBIT</t>
  </si>
  <si>
    <t>PATMI</t>
  </si>
  <si>
    <t>FY23</t>
  </si>
  <si>
    <t>FY24E</t>
  </si>
  <si>
    <t>Debt</t>
  </si>
  <si>
    <t>Net cash</t>
  </si>
  <si>
    <t>NOSH</t>
  </si>
  <si>
    <t>EV/EBIT</t>
  </si>
  <si>
    <t>FY25E</t>
  </si>
  <si>
    <t>Revenue</t>
  </si>
  <si>
    <t>YoY growth</t>
  </si>
  <si>
    <t>OPM (%)</t>
  </si>
  <si>
    <t>P/E</t>
  </si>
  <si>
    <t>New shares offered</t>
  </si>
  <si>
    <t>Vendor shares offered</t>
  </si>
  <si>
    <t>Total shares issued</t>
  </si>
  <si>
    <t>Low end price</t>
  </si>
  <si>
    <t>High end price</t>
  </si>
  <si>
    <t>Mkt cap IDR mn</t>
  </si>
  <si>
    <t>Total IPO</t>
  </si>
  <si>
    <t>FY21</t>
  </si>
  <si>
    <t>FY22</t>
  </si>
  <si>
    <t>USD IDR (7 Mar 25)</t>
  </si>
  <si>
    <t>FY23 9M</t>
  </si>
  <si>
    <t>FY24 9M</t>
  </si>
  <si>
    <t>2023 9M % of FY23</t>
  </si>
  <si>
    <t>GPM (%)</t>
  </si>
  <si>
    <t>NPM (%)</t>
  </si>
  <si>
    <t>Mid point</t>
  </si>
  <si>
    <t xml:space="preserve">Low end </t>
  </si>
  <si>
    <t>High end</t>
  </si>
  <si>
    <t>Offering details:</t>
  </si>
  <si>
    <t>Cash</t>
  </si>
  <si>
    <t>Book value</t>
  </si>
  <si>
    <t>Mkt cap USD mn</t>
  </si>
  <si>
    <t>EV IDR mn</t>
  </si>
  <si>
    <t>EV USD mn</t>
  </si>
  <si>
    <t>Net cash calc IDR mn:</t>
  </si>
  <si>
    <t>P/B mid point</t>
  </si>
  <si>
    <t>Div yield high end</t>
  </si>
  <si>
    <t>Dividend at 80% payout</t>
  </si>
  <si>
    <t>Revenue by geography:</t>
  </si>
  <si>
    <t>Indonesia</t>
  </si>
  <si>
    <t>Thailand</t>
  </si>
  <si>
    <t>Malaysia</t>
  </si>
  <si>
    <t>Taiwan</t>
  </si>
  <si>
    <t>Dubai</t>
  </si>
  <si>
    <t>Puerto Rico</t>
  </si>
  <si>
    <t>Net revenue</t>
  </si>
  <si>
    <t>- Sales discount and rebates</t>
  </si>
  <si>
    <t>Gross revenue</t>
  </si>
  <si>
    <t>Selected Financials IDR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</si>
</sst>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5" formatCode="_(* #,##0.00_);_(* \(#,##0.00\);_(* &quot;-&quot;??_);_(@_)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_(* #,##0.0_);_(* \(#,##0.0\);_(* &quot;-&quot;??_);_(@_)"/>
    <numFmt numFmtId="172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7CB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169" fontId="4" fillId="0" borderId="0" xfId="0" applyNumberFormat="1" applyFont="1"/>
    <xf numFmtId="167" fontId="0" fillId="0" borderId="0" xfId="2" applyNumberFormat="1" applyFont="1"/>
    <xf numFmtId="0" fontId="0" fillId="0" borderId="0" xfId="0" quotePrefix="1"/>
    <xf numFmtId="10" fontId="0" fillId="0" borderId="0" xfId="1" applyNumberFormat="1" applyFont="1"/>
    <xf numFmtId="3" fontId="2" fillId="2" borderId="1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center"/>
    </xf>
    <xf numFmtId="168" fontId="0" fillId="0" borderId="0" xfId="0" applyNumberFormat="1"/>
    <xf numFmtId="166" fontId="0" fillId="0" borderId="0" xfId="1" applyNumberFormat="1" applyFont="1"/>
    <xf numFmtId="168" fontId="4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167" fontId="0" fillId="0" borderId="0" xfId="0" applyNumberFormat="1"/>
    <xf numFmtId="15" fontId="0" fillId="0" borderId="0" xfId="0" applyNumberFormat="1"/>
    <xf numFmtId="172" fontId="0" fillId="0" borderId="0" xfId="0" applyNumberFormat="1"/>
    <xf numFmtId="0" fontId="7" fillId="0" borderId="0" xfId="0" applyFont="1"/>
    <xf numFmtId="0" fontId="0" fillId="0" borderId="3" xfId="0" applyBorder="1"/>
    <xf numFmtId="0" fontId="0" fillId="0" borderId="4" xfId="0" applyBorder="1"/>
    <xf numFmtId="165" fontId="5" fillId="0" borderId="4" xfId="0" applyNumberFormat="1" applyFont="1" applyBorder="1"/>
    <xf numFmtId="165" fontId="5" fillId="0" borderId="5" xfId="0" applyNumberFormat="1" applyFont="1" applyBorder="1"/>
    <xf numFmtId="0" fontId="0" fillId="0" borderId="6" xfId="0" applyBorder="1"/>
    <xf numFmtId="0" fontId="0" fillId="0" borderId="0" xfId="0" applyBorder="1"/>
    <xf numFmtId="165" fontId="5" fillId="0" borderId="0" xfId="0" applyNumberFormat="1" applyFont="1" applyBorder="1"/>
    <xf numFmtId="165" fontId="5" fillId="0" borderId="7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5" fillId="0" borderId="9" xfId="0" applyNumberFormat="1" applyFont="1" applyBorder="1"/>
    <xf numFmtId="165" fontId="5" fillId="0" borderId="10" xfId="0" applyNumberFormat="1" applyFont="1" applyBorder="1"/>
    <xf numFmtId="15" fontId="3" fillId="0" borderId="0" xfId="0" applyNumberFormat="1" applyFont="1"/>
    <xf numFmtId="166" fontId="6" fillId="0" borderId="0" xfId="1" applyNumberFormat="1" applyFont="1"/>
    <xf numFmtId="166" fontId="8" fillId="0" borderId="0" xfId="1" applyNumberFormat="1" applyFont="1"/>
    <xf numFmtId="0" fontId="9" fillId="0" borderId="0" xfId="0" applyFont="1"/>
    <xf numFmtId="168" fontId="8" fillId="0" borderId="0" xfId="0" applyNumberFormat="1" applyFont="1"/>
    <xf numFmtId="165" fontId="5" fillId="3" borderId="0" xfId="0" applyNumberFormat="1" applyFont="1" applyFill="1" applyBorder="1"/>
    <xf numFmtId="165" fontId="5" fillId="3" borderId="7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137C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0FE-233C-4AD6-9556-9C76D0D7E8E5}">
  <dimension ref="A2:K63"/>
  <sheetViews>
    <sheetView showGridLines="0" tabSelected="1" workbookViewId="0">
      <selection activeCell="I16" sqref="I16"/>
    </sheetView>
  </sheetViews>
  <sheetFormatPr defaultRowHeight="15" x14ac:dyDescent="0.25"/>
  <cols>
    <col min="2" max="2" width="21" customWidth="1"/>
    <col min="3" max="3" width="14.28515625" bestFit="1" customWidth="1"/>
    <col min="4" max="6" width="10.7109375" customWidth="1"/>
    <col min="7" max="7" width="11.5703125" customWidth="1"/>
    <col min="8" max="9" width="10.7109375" customWidth="1"/>
    <col min="10" max="10" width="11.42578125" customWidth="1"/>
    <col min="11" max="11" width="11.5703125" bestFit="1" customWidth="1"/>
  </cols>
  <sheetData>
    <row r="2" spans="1:8" x14ac:dyDescent="0.25">
      <c r="B2" s="17" t="s">
        <v>33</v>
      </c>
      <c r="G2" s="10"/>
    </row>
    <row r="3" spans="1:8" x14ac:dyDescent="0.25">
      <c r="B3" s="1" t="s">
        <v>8</v>
      </c>
      <c r="C3" s="3">
        <v>8544489000</v>
      </c>
      <c r="G3" s="10"/>
    </row>
    <row r="4" spans="1:8" x14ac:dyDescent="0.25">
      <c r="B4" s="1"/>
      <c r="C4" s="3"/>
      <c r="G4" s="15"/>
    </row>
    <row r="5" spans="1:8" x14ac:dyDescent="0.25">
      <c r="B5" s="1" t="s">
        <v>24</v>
      </c>
      <c r="C5" s="10">
        <v>16324</v>
      </c>
      <c r="G5" s="10"/>
      <c r="H5" s="10"/>
    </row>
    <row r="6" spans="1:8" x14ac:dyDescent="0.25">
      <c r="B6" s="31"/>
      <c r="G6" s="2"/>
    </row>
    <row r="7" spans="1:8" x14ac:dyDescent="0.25">
      <c r="B7" s="1" t="s">
        <v>15</v>
      </c>
      <c r="C7" s="3">
        <v>256334700</v>
      </c>
      <c r="D7" s="9">
        <f>C7/$C$3</f>
        <v>3.0000003511035007E-2</v>
      </c>
      <c r="F7" s="1" t="s">
        <v>35</v>
      </c>
      <c r="G7" s="10">
        <v>2106170.0177540001</v>
      </c>
    </row>
    <row r="8" spans="1:8" x14ac:dyDescent="0.25">
      <c r="B8" s="1" t="s">
        <v>16</v>
      </c>
      <c r="C8" s="3">
        <v>598114200</v>
      </c>
      <c r="D8" s="9">
        <f>C8/$C$3</f>
        <v>6.9999996488964988E-2</v>
      </c>
      <c r="F8" s="1" t="s">
        <v>40</v>
      </c>
      <c r="G8" s="12">
        <f>C18/G7</f>
        <v>9.3308348966799244</v>
      </c>
    </row>
    <row r="9" spans="1:8" x14ac:dyDescent="0.25">
      <c r="B9" s="1" t="s">
        <v>21</v>
      </c>
      <c r="C9" s="14">
        <f>SUM(C7:C8)</f>
        <v>854448900</v>
      </c>
      <c r="D9" s="9">
        <f>SUM(D7:D8)</f>
        <v>9.9999999999999992E-2</v>
      </c>
      <c r="F9" s="1"/>
    </row>
    <row r="10" spans="1:8" x14ac:dyDescent="0.25">
      <c r="B10" s="1"/>
      <c r="F10" s="17" t="s">
        <v>39</v>
      </c>
    </row>
    <row r="11" spans="1:8" x14ac:dyDescent="0.25">
      <c r="B11" s="1" t="s">
        <v>17</v>
      </c>
      <c r="C11" s="14">
        <f>C9</f>
        <v>854448900</v>
      </c>
      <c r="F11" s="1" t="s">
        <v>34</v>
      </c>
      <c r="G11" s="10">
        <v>559741.76135299995</v>
      </c>
    </row>
    <row r="12" spans="1:8" x14ac:dyDescent="0.25">
      <c r="B12" s="1" t="s">
        <v>18</v>
      </c>
      <c r="C12" s="10">
        <v>2100</v>
      </c>
      <c r="F12" s="1" t="s">
        <v>6</v>
      </c>
      <c r="G12" s="10">
        <v>30410.826614000001</v>
      </c>
    </row>
    <row r="13" spans="1:8" x14ac:dyDescent="0.25">
      <c r="B13" s="1" t="s">
        <v>19</v>
      </c>
      <c r="C13" s="10">
        <v>2500</v>
      </c>
      <c r="F13" s="1" t="s">
        <v>7</v>
      </c>
      <c r="G13" s="10">
        <f>G11-G12</f>
        <v>529330.93473899993</v>
      </c>
    </row>
    <row r="14" spans="1:8" x14ac:dyDescent="0.25">
      <c r="B14" s="1" t="s">
        <v>30</v>
      </c>
      <c r="C14" s="11">
        <f>AVERAGE(C12:C13)</f>
        <v>2300</v>
      </c>
      <c r="F14" s="1"/>
    </row>
    <row r="15" spans="1:8" x14ac:dyDescent="0.25">
      <c r="B15" s="1"/>
      <c r="C15" s="10"/>
      <c r="F15" s="1"/>
    </row>
    <row r="16" spans="1:8" x14ac:dyDescent="0.25">
      <c r="A16" s="13" t="s">
        <v>31</v>
      </c>
      <c r="B16" s="1" t="s">
        <v>20</v>
      </c>
      <c r="C16" s="14">
        <f>(C12*$C$3)/1000000</f>
        <v>17943426.899999999</v>
      </c>
      <c r="E16" s="4"/>
      <c r="F16" s="1" t="s">
        <v>37</v>
      </c>
      <c r="G16" s="14">
        <f>C16-$G$13</f>
        <v>17414095.965260997</v>
      </c>
    </row>
    <row r="17" spans="1:11" x14ac:dyDescent="0.25">
      <c r="A17" s="13" t="s">
        <v>32</v>
      </c>
      <c r="B17" s="1" t="s">
        <v>20</v>
      </c>
      <c r="C17" s="14">
        <f>(C13*$C$3)/1000000</f>
        <v>21361222.5</v>
      </c>
      <c r="F17" s="1" t="s">
        <v>37</v>
      </c>
      <c r="G17" s="14">
        <f t="shared" ref="G17:G18" si="0">C17-$G$13</f>
        <v>20831891.565260999</v>
      </c>
    </row>
    <row r="18" spans="1:11" x14ac:dyDescent="0.25">
      <c r="A18" s="13" t="s">
        <v>30</v>
      </c>
      <c r="B18" s="1" t="s">
        <v>20</v>
      </c>
      <c r="C18" s="14">
        <f>(C14*$C$3)/1000000</f>
        <v>19652324.699999999</v>
      </c>
      <c r="F18" s="1" t="s">
        <v>37</v>
      </c>
      <c r="G18" s="14">
        <f t="shared" si="0"/>
        <v>19122993.765260998</v>
      </c>
    </row>
    <row r="19" spans="1:11" x14ac:dyDescent="0.25">
      <c r="A19" s="13"/>
      <c r="B19" s="1"/>
      <c r="F19" s="1"/>
      <c r="G19" s="14"/>
    </row>
    <row r="20" spans="1:11" x14ac:dyDescent="0.25">
      <c r="A20" s="13" t="s">
        <v>31</v>
      </c>
      <c r="B20" s="1" t="s">
        <v>36</v>
      </c>
      <c r="C20" s="16">
        <f>C16/$C$5</f>
        <v>1099.2052744425384</v>
      </c>
      <c r="F20" s="1" t="s">
        <v>38</v>
      </c>
      <c r="G20" s="16">
        <f>G16/$C$5</f>
        <v>1066.7787285751651</v>
      </c>
    </row>
    <row r="21" spans="1:11" x14ac:dyDescent="0.25">
      <c r="A21" s="13" t="s">
        <v>32</v>
      </c>
      <c r="B21" s="1" t="s">
        <v>36</v>
      </c>
      <c r="C21" s="16">
        <f>C17/$C$5</f>
        <v>1308.5777076696888</v>
      </c>
      <c r="F21" s="1" t="s">
        <v>38</v>
      </c>
      <c r="G21" s="16">
        <f>G17/$C$5</f>
        <v>1276.1511618023155</v>
      </c>
    </row>
    <row r="22" spans="1:11" x14ac:dyDescent="0.25">
      <c r="A22" s="13" t="s">
        <v>30</v>
      </c>
      <c r="B22" s="1" t="s">
        <v>36</v>
      </c>
      <c r="C22" s="16">
        <f>C18/$C$5</f>
        <v>1203.8914910561136</v>
      </c>
      <c r="F22" s="1" t="s">
        <v>38</v>
      </c>
      <c r="G22" s="16">
        <f>G18/$C$5</f>
        <v>1171.4649451887403</v>
      </c>
    </row>
    <row r="24" spans="1:11" x14ac:dyDescent="0.25">
      <c r="B24" s="1" t="s">
        <v>53</v>
      </c>
      <c r="D24" s="6" t="s">
        <v>22</v>
      </c>
      <c r="E24" s="6" t="s">
        <v>23</v>
      </c>
      <c r="F24" s="6" t="s">
        <v>4</v>
      </c>
      <c r="G24" s="6" t="s">
        <v>25</v>
      </c>
      <c r="H24" s="6" t="s">
        <v>26</v>
      </c>
      <c r="I24" s="6" t="s">
        <v>5</v>
      </c>
      <c r="J24" s="6" t="s">
        <v>10</v>
      </c>
    </row>
    <row r="25" spans="1:11" x14ac:dyDescent="0.25">
      <c r="D25" s="7">
        <v>44561</v>
      </c>
      <c r="E25" s="7">
        <v>44926</v>
      </c>
      <c r="F25" s="7">
        <v>45291</v>
      </c>
      <c r="G25" s="7">
        <v>45170</v>
      </c>
      <c r="H25" s="7">
        <v>45536</v>
      </c>
      <c r="I25" s="7">
        <v>45657</v>
      </c>
      <c r="J25" s="7">
        <v>46022</v>
      </c>
    </row>
    <row r="27" spans="1:11" x14ac:dyDescent="0.25">
      <c r="B27" s="1" t="s">
        <v>11</v>
      </c>
      <c r="D27" s="10">
        <v>2318022.5758549999</v>
      </c>
      <c r="E27" s="10">
        <v>2873062.7532299999</v>
      </c>
      <c r="F27" s="10">
        <v>3134978.4167260001</v>
      </c>
      <c r="G27" s="10">
        <v>2523484.1879019998</v>
      </c>
      <c r="H27" s="10">
        <v>2410404.6547730002</v>
      </c>
      <c r="I27" s="11">
        <f>H27/G30</f>
        <v>2994497.292480242</v>
      </c>
      <c r="J27" s="11">
        <f>(1+J28)*I27</f>
        <v>3144222.1571042542</v>
      </c>
    </row>
    <row r="28" spans="1:11" x14ac:dyDescent="0.25">
      <c r="B28" s="34" t="s">
        <v>12</v>
      </c>
      <c r="C28" s="13"/>
      <c r="D28" s="13"/>
      <c r="E28" s="32">
        <f>E27/D27-1</f>
        <v>0.23944554429987552</v>
      </c>
      <c r="F28" s="32">
        <f>F27/E27-1</f>
        <v>9.1162527933490223E-2</v>
      </c>
      <c r="G28" s="13"/>
      <c r="H28" s="32">
        <f>H27/G27-1</f>
        <v>-4.4810874453313998E-2</v>
      </c>
      <c r="I28" s="32">
        <f>I27/F27-1</f>
        <v>-4.4810874453314109E-2</v>
      </c>
      <c r="J28" s="33">
        <v>0.05</v>
      </c>
    </row>
    <row r="29" spans="1:11" x14ac:dyDescent="0.25">
      <c r="B29" s="1"/>
    </row>
    <row r="30" spans="1:11" x14ac:dyDescent="0.25">
      <c r="B30" s="1" t="s">
        <v>27</v>
      </c>
      <c r="G30" s="9">
        <f>G27/F27</f>
        <v>0.80494467663269864</v>
      </c>
    </row>
    <row r="31" spans="1:11" x14ac:dyDescent="0.25">
      <c r="B31" s="1"/>
    </row>
    <row r="32" spans="1:11" x14ac:dyDescent="0.25">
      <c r="B32" s="1" t="s">
        <v>1</v>
      </c>
      <c r="D32" s="10">
        <v>739684.22818600002</v>
      </c>
      <c r="E32" s="10">
        <v>753008.13396999997</v>
      </c>
      <c r="F32" s="10">
        <v>932250.02721700002</v>
      </c>
      <c r="G32" s="10">
        <v>734390.09574000002</v>
      </c>
      <c r="H32" s="10">
        <v>835135.75597900001</v>
      </c>
      <c r="I32" s="11">
        <f>I33*I27</f>
        <v>1018129.0794432823</v>
      </c>
      <c r="J32" s="11">
        <f>J33*J27</f>
        <v>1069035.5334154465</v>
      </c>
      <c r="K32" s="10"/>
    </row>
    <row r="33" spans="1:11" x14ac:dyDescent="0.25">
      <c r="B33" s="34" t="s">
        <v>28</v>
      </c>
      <c r="C33" s="13"/>
      <c r="D33" s="32">
        <f>D32/D27</f>
        <v>0.31910139094015005</v>
      </c>
      <c r="E33" s="32">
        <f t="shared" ref="E33:H33" si="1">E32/E27</f>
        <v>0.26209247713905354</v>
      </c>
      <c r="F33" s="32">
        <f t="shared" si="1"/>
        <v>0.29737047701610364</v>
      </c>
      <c r="G33" s="32">
        <f t="shared" si="1"/>
        <v>0.29102226963053207</v>
      </c>
      <c r="H33" s="32">
        <f t="shared" si="1"/>
        <v>0.34647118454791109</v>
      </c>
      <c r="I33" s="33">
        <v>0.34</v>
      </c>
      <c r="J33" s="33">
        <v>0.34</v>
      </c>
    </row>
    <row r="34" spans="1:11" x14ac:dyDescent="0.25">
      <c r="B34" s="1"/>
    </row>
    <row r="35" spans="1:11" x14ac:dyDescent="0.25">
      <c r="B35" s="1" t="s">
        <v>2</v>
      </c>
      <c r="D35" s="10">
        <v>512804.48148399999</v>
      </c>
      <c r="E35" s="10">
        <v>527702.22572400002</v>
      </c>
      <c r="F35" s="10">
        <v>709931.41754599998</v>
      </c>
      <c r="G35" s="10">
        <v>562037.74598600005</v>
      </c>
      <c r="H35" s="10">
        <v>586989.25850600004</v>
      </c>
      <c r="I35" s="11">
        <f>I36*I27</f>
        <v>718679.35019525804</v>
      </c>
      <c r="J35" s="11">
        <f>J36*J27</f>
        <v>754613.31770502101</v>
      </c>
      <c r="K35" s="10"/>
    </row>
    <row r="36" spans="1:11" x14ac:dyDescent="0.25">
      <c r="B36" s="34" t="s">
        <v>13</v>
      </c>
      <c r="C36" s="13"/>
      <c r="D36" s="32">
        <f>D35/D27</f>
        <v>0.22122497288226481</v>
      </c>
      <c r="E36" s="32">
        <f t="shared" ref="E36:H36" si="2">E35/E27</f>
        <v>0.18367236327530204</v>
      </c>
      <c r="F36" s="32">
        <f t="shared" si="2"/>
        <v>0.22645496178165511</v>
      </c>
      <c r="G36" s="32">
        <f t="shared" si="2"/>
        <v>0.22272291171092012</v>
      </c>
      <c r="H36" s="32">
        <f t="shared" si="2"/>
        <v>0.24352311855341971</v>
      </c>
      <c r="I36" s="33">
        <v>0.24</v>
      </c>
      <c r="J36" s="33">
        <v>0.24</v>
      </c>
    </row>
    <row r="37" spans="1:11" x14ac:dyDescent="0.25">
      <c r="B37" s="1"/>
    </row>
    <row r="38" spans="1:11" x14ac:dyDescent="0.25">
      <c r="B38" s="1" t="s">
        <v>3</v>
      </c>
      <c r="D38" s="10">
        <v>391078.52360399999</v>
      </c>
      <c r="E38" s="10">
        <v>404334.96174300002</v>
      </c>
      <c r="F38" s="10">
        <v>559756.95000499999</v>
      </c>
      <c r="G38" s="10">
        <v>440448.48865499999</v>
      </c>
      <c r="H38" s="10">
        <v>484252.23638000002</v>
      </c>
      <c r="I38" s="11">
        <f>(1+H39)*F38</f>
        <v>615426.23451136681</v>
      </c>
      <c r="J38" s="11">
        <f>J40*J27</f>
        <v>660286.65299189335</v>
      </c>
      <c r="K38" s="11"/>
    </row>
    <row r="39" spans="1:11" x14ac:dyDescent="0.25">
      <c r="B39" s="34" t="s">
        <v>12</v>
      </c>
      <c r="C39" s="13"/>
      <c r="D39" s="35"/>
      <c r="E39" s="32">
        <f>E38/D38-1</f>
        <v>3.3897126379722309E-2</v>
      </c>
      <c r="F39" s="32">
        <f>F38/E38-1</f>
        <v>0.38438918957690338</v>
      </c>
      <c r="G39" s="35"/>
      <c r="H39" s="32">
        <f>H38/G38-1</f>
        <v>9.9452600822320436E-2</v>
      </c>
      <c r="I39" s="32">
        <f t="shared" ref="I39:J39" si="3">I38/H38-1</f>
        <v>0.27087948857386923</v>
      </c>
      <c r="J39" s="32">
        <f t="shared" si="3"/>
        <v>7.2893250181550462E-2</v>
      </c>
    </row>
    <row r="40" spans="1:11" x14ac:dyDescent="0.25">
      <c r="B40" s="34" t="s">
        <v>29</v>
      </c>
      <c r="C40" s="13"/>
      <c r="D40" s="32">
        <f>D38/D27</f>
        <v>0.16871212889708423</v>
      </c>
      <c r="E40" s="32">
        <f t="shared" ref="E40:I40" si="4">E38/E27</f>
        <v>0.14073307702326801</v>
      </c>
      <c r="F40" s="32">
        <f t="shared" si="4"/>
        <v>0.17855209050835491</v>
      </c>
      <c r="G40" s="32">
        <f t="shared" si="4"/>
        <v>0.17453982504292392</v>
      </c>
      <c r="H40" s="32">
        <f t="shared" si="4"/>
        <v>0.20090080535693475</v>
      </c>
      <c r="I40" s="32">
        <f t="shared" si="4"/>
        <v>0.20551904857513825</v>
      </c>
      <c r="J40" s="33">
        <v>0.21</v>
      </c>
    </row>
    <row r="41" spans="1:11" ht="15.75" thickBot="1" x14ac:dyDescent="0.3"/>
    <row r="42" spans="1:11" x14ac:dyDescent="0.25">
      <c r="A42" t="s">
        <v>31</v>
      </c>
      <c r="B42" s="18" t="s">
        <v>14</v>
      </c>
      <c r="C42" s="19"/>
      <c r="D42" s="19"/>
      <c r="E42" s="19"/>
      <c r="F42" s="20">
        <f>$C16/F$38</f>
        <v>32.055746516125829</v>
      </c>
      <c r="G42" s="19"/>
      <c r="H42" s="19"/>
      <c r="I42" s="20">
        <f>$C16/I$38</f>
        <v>29.156096854152853</v>
      </c>
      <c r="J42" s="21">
        <f>$C16/J$38</f>
        <v>27.175207644580844</v>
      </c>
      <c r="K42" s="12"/>
    </row>
    <row r="43" spans="1:11" x14ac:dyDescent="0.25">
      <c r="A43" t="s">
        <v>32</v>
      </c>
      <c r="B43" s="22" t="s">
        <v>14</v>
      </c>
      <c r="C43" s="23"/>
      <c r="D43" s="23"/>
      <c r="E43" s="23"/>
      <c r="F43" s="24">
        <f t="shared" ref="F43:F44" si="5">$C17/F$38</f>
        <v>38.161602995387895</v>
      </c>
      <c r="G43" s="23"/>
      <c r="H43" s="23"/>
      <c r="I43" s="36">
        <f t="shared" ref="I43:J44" si="6">$C17/I$38</f>
        <v>34.709639112086734</v>
      </c>
      <c r="J43" s="37">
        <f t="shared" si="6"/>
        <v>32.351437672120056</v>
      </c>
      <c r="K43" s="12"/>
    </row>
    <row r="44" spans="1:11" x14ac:dyDescent="0.25">
      <c r="A44" t="s">
        <v>30</v>
      </c>
      <c r="B44" s="22" t="s">
        <v>14</v>
      </c>
      <c r="C44" s="23"/>
      <c r="D44" s="23"/>
      <c r="E44" s="23"/>
      <c r="F44" s="24">
        <f t="shared" si="5"/>
        <v>35.108674755756866</v>
      </c>
      <c r="G44" s="23"/>
      <c r="H44" s="23"/>
      <c r="I44" s="24">
        <f t="shared" si="6"/>
        <v>31.932867983119795</v>
      </c>
      <c r="J44" s="25">
        <f t="shared" si="6"/>
        <v>29.763322658350447</v>
      </c>
      <c r="K44" s="12"/>
    </row>
    <row r="45" spans="1:11" x14ac:dyDescent="0.25">
      <c r="B45" s="22"/>
      <c r="C45" s="23"/>
      <c r="D45" s="23"/>
      <c r="E45" s="23"/>
      <c r="F45" s="23"/>
      <c r="G45" s="23"/>
      <c r="H45" s="23"/>
      <c r="I45" s="23"/>
      <c r="J45" s="26"/>
    </row>
    <row r="46" spans="1:11" x14ac:dyDescent="0.25">
      <c r="A46" t="s">
        <v>31</v>
      </c>
      <c r="B46" s="22" t="s">
        <v>9</v>
      </c>
      <c r="C46" s="23"/>
      <c r="D46" s="23"/>
      <c r="E46" s="23"/>
      <c r="F46" s="24">
        <f>$G16/F$35</f>
        <v>24.529265130223163</v>
      </c>
      <c r="G46" s="23"/>
      <c r="H46" s="23"/>
      <c r="I46" s="24">
        <f>$G16/I$35</f>
        <v>24.230689194742773</v>
      </c>
      <c r="J46" s="25">
        <f>$G16/J$35</f>
        <v>23.076846852135972</v>
      </c>
    </row>
    <row r="47" spans="1:11" x14ac:dyDescent="0.25">
      <c r="A47" t="s">
        <v>32</v>
      </c>
      <c r="B47" s="22" t="s">
        <v>9</v>
      </c>
      <c r="C47" s="23"/>
      <c r="D47" s="23"/>
      <c r="E47" s="23"/>
      <c r="F47" s="24">
        <f t="shared" ref="F47:F48" si="7">$G17/F$35</f>
        <v>29.343526783573001</v>
      </c>
      <c r="G47" s="23"/>
      <c r="H47" s="23"/>
      <c r="I47" s="36">
        <f t="shared" ref="I47:J48" si="8">$G17/I$35</f>
        <v>28.986350532544424</v>
      </c>
      <c r="J47" s="37">
        <f t="shared" si="8"/>
        <v>27.606048126232782</v>
      </c>
    </row>
    <row r="48" spans="1:11" ht="15.75" thickBot="1" x14ac:dyDescent="0.3">
      <c r="A48" t="s">
        <v>30</v>
      </c>
      <c r="B48" s="27" t="s">
        <v>9</v>
      </c>
      <c r="C48" s="28"/>
      <c r="D48" s="28"/>
      <c r="E48" s="28"/>
      <c r="F48" s="29">
        <f t="shared" si="7"/>
        <v>26.936395956898082</v>
      </c>
      <c r="G48" s="28"/>
      <c r="H48" s="28"/>
      <c r="I48" s="29">
        <f t="shared" si="8"/>
        <v>26.6085198636436</v>
      </c>
      <c r="J48" s="30">
        <f t="shared" si="8"/>
        <v>25.341447489184379</v>
      </c>
    </row>
    <row r="50" spans="2:9" x14ac:dyDescent="0.25">
      <c r="B50" t="s">
        <v>42</v>
      </c>
      <c r="I50" s="11">
        <f>0.8*I38</f>
        <v>492340.98760909348</v>
      </c>
    </row>
    <row r="51" spans="2:9" x14ac:dyDescent="0.25">
      <c r="B51" t="s">
        <v>41</v>
      </c>
      <c r="I51" s="5">
        <f>I50/C17</f>
        <v>2.3048352574816047E-2</v>
      </c>
    </row>
    <row r="53" spans="2:9" x14ac:dyDescent="0.25">
      <c r="B53" s="1" t="s">
        <v>43</v>
      </c>
    </row>
    <row r="54" spans="2:9" x14ac:dyDescent="0.25">
      <c r="B54" t="s">
        <v>44</v>
      </c>
      <c r="H54" s="10">
        <v>1824483.8628779999</v>
      </c>
      <c r="I54" s="9">
        <f>H54/$H$61</f>
        <v>0.74233828058216056</v>
      </c>
    </row>
    <row r="55" spans="2:9" x14ac:dyDescent="0.25">
      <c r="B55" t="s">
        <v>45</v>
      </c>
      <c r="H55" s="10">
        <v>214261.44992000001</v>
      </c>
      <c r="I55" s="9">
        <f t="shared" ref="I55:I60" si="9">H55/$H$61</f>
        <v>8.717779288974134E-2</v>
      </c>
    </row>
    <row r="56" spans="2:9" x14ac:dyDescent="0.25">
      <c r="B56" t="s">
        <v>46</v>
      </c>
      <c r="H56" s="10">
        <v>58393.957075999999</v>
      </c>
      <c r="I56" s="9">
        <f t="shared" si="9"/>
        <v>2.3759086377342729E-2</v>
      </c>
    </row>
    <row r="57" spans="2:9" x14ac:dyDescent="0.25">
      <c r="B57" t="s">
        <v>47</v>
      </c>
      <c r="H57" s="10">
        <v>50926.219498999999</v>
      </c>
      <c r="I57" s="9">
        <f t="shared" si="9"/>
        <v>2.0720644884084285E-2</v>
      </c>
    </row>
    <row r="58" spans="2:9" x14ac:dyDescent="0.25">
      <c r="B58" t="s">
        <v>48</v>
      </c>
      <c r="H58" s="10">
        <v>48098.183214999997</v>
      </c>
      <c r="I58" s="9">
        <f t="shared" si="9"/>
        <v>1.956998543721095E-2</v>
      </c>
    </row>
    <row r="59" spans="2:9" x14ac:dyDescent="0.25">
      <c r="B59" t="s">
        <v>49</v>
      </c>
      <c r="H59" s="10">
        <v>28582.011678999999</v>
      </c>
      <c r="I59" s="9">
        <f t="shared" si="9"/>
        <v>1.1629328073035893E-2</v>
      </c>
    </row>
    <row r="60" spans="2:9" x14ac:dyDescent="0.25">
      <c r="B60" t="s">
        <v>0</v>
      </c>
      <c r="H60" s="10">
        <v>233006.947656</v>
      </c>
      <c r="I60" s="9">
        <f t="shared" si="9"/>
        <v>9.4804881756424028E-2</v>
      </c>
    </row>
    <row r="61" spans="2:9" x14ac:dyDescent="0.25">
      <c r="B61" t="s">
        <v>52</v>
      </c>
      <c r="H61" s="11">
        <f>SUM(H54:H60)</f>
        <v>2457752.6319230003</v>
      </c>
      <c r="I61" s="9">
        <f>H61/$H$61</f>
        <v>1</v>
      </c>
    </row>
    <row r="62" spans="2:9" x14ac:dyDescent="0.25">
      <c r="B62" s="4" t="s">
        <v>51</v>
      </c>
      <c r="H62" s="10">
        <v>-47347.977149999999</v>
      </c>
    </row>
    <row r="63" spans="2:9" x14ac:dyDescent="0.25">
      <c r="B63" t="s">
        <v>50</v>
      </c>
      <c r="H63" s="8">
        <f>SUM(H61:H62)</f>
        <v>2410404.6547730002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Yupi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 Partners</dc:creator>
  <cp:lastModifiedBy>Seb Tan</cp:lastModifiedBy>
  <dcterms:created xsi:type="dcterms:W3CDTF">2024-02-28T09:06:58Z</dcterms:created>
  <dcterms:modified xsi:type="dcterms:W3CDTF">2025-03-07T06:58:59Z</dcterms:modified>
</cp:coreProperties>
</file>