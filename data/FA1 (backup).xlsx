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5DA20B3-C05A-4A56-8AED-ACCBBA612737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Financial Overvi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2" l="1"/>
  <c r="F58" i="2"/>
  <c r="F76" i="2"/>
  <c r="F78" i="2"/>
  <c r="F67" i="2"/>
  <c r="F92" i="2"/>
  <c r="I71" i="2"/>
  <c r="I51" i="2"/>
  <c r="I60" i="2"/>
  <c r="I13" i="2"/>
  <c r="I87" i="2"/>
  <c r="I69" i="2"/>
  <c r="E67" i="2"/>
  <c r="E58" i="2"/>
  <c r="E76" i="2"/>
  <c r="E92" i="2"/>
  <c r="E14" i="2"/>
  <c r="E7" i="2"/>
  <c r="D43" i="2"/>
  <c r="D69" i="2"/>
  <c r="D67" i="2"/>
  <c r="D71" i="2"/>
  <c r="D73" i="2"/>
  <c r="D70" i="2"/>
  <c r="D51" i="2"/>
  <c r="D100" i="2"/>
  <c r="D60" i="2"/>
  <c r="D99" i="2"/>
  <c r="D14" i="2"/>
  <c r="D57" i="2"/>
  <c r="D77" i="2"/>
  <c r="D78" i="2"/>
  <c r="D79" i="2"/>
  <c r="D64" i="2"/>
  <c r="D59" i="2"/>
  <c r="D80" i="2"/>
  <c r="D84" i="2"/>
  <c r="D13" i="2"/>
  <c r="D63" i="2"/>
  <c r="D87" i="2"/>
  <c r="D65" i="2"/>
  <c r="D58" i="2"/>
  <c r="D7" i="2"/>
  <c r="D90" i="2"/>
  <c r="D92" i="2"/>
  <c r="D76" i="2"/>
  <c r="H85" i="2"/>
  <c r="H49" i="2"/>
  <c r="H44" i="2"/>
  <c r="H62" i="2"/>
  <c r="I94" i="2"/>
  <c r="I89" i="2"/>
  <c r="I44" i="2"/>
  <c r="I53" i="2"/>
  <c r="C99" i="2"/>
  <c r="C63" i="2"/>
  <c r="C90" i="2"/>
  <c r="C65" i="2"/>
  <c r="C14" i="2"/>
  <c r="C70" i="2"/>
  <c r="I65" i="2"/>
  <c r="I80" i="2"/>
  <c r="I78" i="2"/>
  <c r="I70" i="2"/>
  <c r="I58" i="2"/>
  <c r="I43" i="2"/>
  <c r="I63" i="2"/>
  <c r="I7" i="2"/>
  <c r="I84" i="2"/>
  <c r="I99" i="2"/>
  <c r="I92" i="2"/>
  <c r="I59" i="2"/>
  <c r="I73" i="2"/>
  <c r="I57" i="2"/>
  <c r="I77" i="2"/>
  <c r="I90" i="2"/>
  <c r="I14" i="2"/>
  <c r="I64" i="2"/>
  <c r="I67" i="2"/>
  <c r="I76" i="2"/>
  <c r="I100" i="2"/>
  <c r="I79" i="2"/>
  <c r="D81" i="2"/>
  <c r="D56" i="2"/>
  <c r="D34" i="2"/>
  <c r="D83" i="2"/>
  <c r="D47" i="2"/>
  <c r="E85" i="2"/>
  <c r="E72" i="2"/>
  <c r="E83" i="2"/>
  <c r="E49" i="2"/>
  <c r="G69" i="2"/>
  <c r="G51" i="2"/>
  <c r="G60" i="2"/>
  <c r="G78" i="2"/>
  <c r="G92" i="2"/>
  <c r="G67" i="2"/>
  <c r="C72" i="2"/>
  <c r="C52" i="2"/>
  <c r="C66" i="2"/>
  <c r="C56" i="2"/>
  <c r="C34" i="2"/>
  <c r="C84" i="2"/>
  <c r="C100" i="2"/>
  <c r="C57" i="2"/>
  <c r="C60" i="2"/>
  <c r="C73" i="2"/>
  <c r="C58" i="2"/>
  <c r="C51" i="2"/>
  <c r="C69" i="2"/>
  <c r="C76" i="2"/>
  <c r="C80" i="2"/>
  <c r="C77" i="2"/>
  <c r="C67" i="2"/>
  <c r="C71" i="2"/>
  <c r="C13" i="2"/>
  <c r="C7" i="2"/>
  <c r="C59" i="2"/>
  <c r="C79" i="2"/>
  <c r="C92" i="2"/>
  <c r="C43" i="2"/>
  <c r="C87" i="2"/>
  <c r="C78" i="2"/>
  <c r="C64" i="2"/>
  <c r="E71" i="2"/>
  <c r="E43" i="2"/>
  <c r="E57" i="2"/>
  <c r="E77" i="2"/>
  <c r="E65" i="2"/>
  <c r="E51" i="2"/>
  <c r="E70" i="2"/>
  <c r="E87" i="2"/>
  <c r="E13" i="2"/>
  <c r="E80" i="2"/>
  <c r="E100" i="2"/>
  <c r="E64" i="2"/>
  <c r="E63" i="2"/>
  <c r="E78" i="2"/>
  <c r="E73" i="2"/>
  <c r="E69" i="2"/>
  <c r="E99" i="2"/>
  <c r="E59" i="2"/>
  <c r="E84" i="2"/>
  <c r="E60" i="2"/>
  <c r="E90" i="2"/>
  <c r="E79" i="2"/>
  <c r="F84" i="2"/>
  <c r="F90" i="2"/>
  <c r="F79" i="2"/>
  <c r="F59" i="2"/>
  <c r="F14" i="2"/>
  <c r="F73" i="2"/>
  <c r="F99" i="2"/>
  <c r="F69" i="2"/>
  <c r="F51" i="2"/>
  <c r="F13" i="2"/>
  <c r="F87" i="2"/>
  <c r="F77" i="2"/>
  <c r="F63" i="2"/>
  <c r="F64" i="2"/>
  <c r="F100" i="2"/>
  <c r="F7" i="2"/>
  <c r="F80" i="2"/>
  <c r="F65" i="2"/>
  <c r="F57" i="2"/>
  <c r="F43" i="2"/>
  <c r="F71" i="2"/>
  <c r="F70" i="2"/>
  <c r="H51" i="2"/>
  <c r="H78" i="2"/>
  <c r="H80" i="2"/>
  <c r="H60" i="2"/>
  <c r="H87" i="2"/>
  <c r="H69" i="2"/>
  <c r="H90" i="2"/>
  <c r="H71" i="2"/>
  <c r="H13" i="2"/>
  <c r="H57" i="2"/>
  <c r="H67" i="2"/>
  <c r="H43" i="2"/>
  <c r="H99" i="2"/>
  <c r="H77" i="2"/>
  <c r="H14" i="2"/>
  <c r="H63" i="2"/>
  <c r="H76" i="2"/>
  <c r="H73" i="2"/>
  <c r="H65" i="2"/>
  <c r="H64" i="2"/>
  <c r="H59" i="2"/>
  <c r="H70" i="2"/>
  <c r="H84" i="2"/>
  <c r="H79" i="2"/>
  <c r="H100" i="2"/>
  <c r="H7" i="2"/>
  <c r="H92" i="2"/>
  <c r="H58" i="2"/>
  <c r="G77" i="2"/>
  <c r="G43" i="2"/>
  <c r="G100" i="2"/>
  <c r="G13" i="2"/>
  <c r="G80" i="2"/>
  <c r="G73" i="2"/>
  <c r="G76" i="2"/>
  <c r="G63" i="2"/>
  <c r="G57" i="2"/>
  <c r="G71" i="2"/>
  <c r="G64" i="2"/>
  <c r="G87" i="2"/>
  <c r="G99" i="2"/>
  <c r="G70" i="2"/>
  <c r="G14" i="2"/>
  <c r="G7" i="2"/>
  <c r="G84" i="2"/>
  <c r="G59" i="2"/>
  <c r="G58" i="2"/>
  <c r="G79" i="2"/>
  <c r="G65" i="2"/>
  <c r="G90" i="2"/>
  <c r="D94" i="2"/>
  <c r="D61" i="2"/>
  <c r="D85" i="2"/>
  <c r="D45" i="2"/>
  <c r="D44" i="2"/>
  <c r="D66" i="2"/>
  <c r="D86" i="2"/>
  <c r="D50" i="2"/>
  <c r="D52" i="2"/>
  <c r="D72" i="2"/>
  <c r="D62" i="2"/>
  <c r="D49" i="2"/>
  <c r="D93" i="2"/>
  <c r="D53" i="2"/>
  <c r="D68" i="2"/>
  <c r="D46" i="2"/>
  <c r="D33" i="2"/>
  <c r="D91" i="2"/>
  <c r="D26" i="2"/>
  <c r="D89" i="2"/>
  <c r="D48" i="2"/>
  <c r="D82" i="2"/>
  <c r="D42" i="2"/>
  <c r="D24" i="2"/>
  <c r="G39" i="2"/>
  <c r="G9" i="2"/>
  <c r="G37" i="2"/>
  <c r="G98" i="2"/>
  <c r="G8" i="2"/>
  <c r="G10" i="2"/>
  <c r="G88" i="2"/>
  <c r="G11" i="2"/>
  <c r="G12" i="2"/>
  <c r="G97" i="2"/>
  <c r="G38" i="2"/>
  <c r="C45" i="2"/>
  <c r="C49" i="2"/>
  <c r="C86" i="2"/>
  <c r="C93" i="2"/>
  <c r="C94" i="2"/>
  <c r="C85" i="2"/>
  <c r="C53" i="2"/>
  <c r="C68" i="2"/>
  <c r="C82" i="2"/>
  <c r="C48" i="2"/>
  <c r="C61" i="2"/>
  <c r="C91" i="2"/>
  <c r="C81" i="2"/>
  <c r="C46" i="2"/>
  <c r="C33" i="2"/>
  <c r="C44" i="2"/>
  <c r="C83" i="2"/>
  <c r="C62" i="2"/>
  <c r="C47" i="2"/>
  <c r="C42" i="2"/>
  <c r="C24" i="2"/>
  <c r="C26" i="2"/>
  <c r="C50" i="2"/>
  <c r="C89" i="2"/>
  <c r="H83" i="2"/>
  <c r="G81" i="2"/>
  <c r="G62" i="2"/>
  <c r="G53" i="2"/>
  <c r="H56" i="2"/>
  <c r="H34" i="2"/>
  <c r="G45" i="2"/>
  <c r="G82" i="2"/>
  <c r="H82" i="2"/>
  <c r="G26" i="2"/>
  <c r="H91" i="2"/>
  <c r="H45" i="2"/>
  <c r="G52" i="2"/>
  <c r="H81" i="2"/>
  <c r="H42" i="2"/>
  <c r="H24" i="2"/>
  <c r="H72" i="2"/>
  <c r="G83" i="2"/>
  <c r="H46" i="2"/>
  <c r="H33" i="2"/>
  <c r="G89" i="2"/>
  <c r="H94" i="2"/>
  <c r="G91" i="2"/>
  <c r="H61" i="2"/>
  <c r="H66" i="2"/>
  <c r="G72" i="2"/>
  <c r="H89" i="2"/>
  <c r="G56" i="2"/>
  <c r="G34" i="2"/>
  <c r="H50" i="2"/>
  <c r="G48" i="2"/>
  <c r="G66" i="2"/>
  <c r="H52" i="2"/>
  <c r="G42" i="2"/>
  <c r="G24" i="2"/>
  <c r="H93" i="2"/>
  <c r="G44" i="2"/>
  <c r="H48" i="2"/>
  <c r="G46" i="2"/>
  <c r="G33" i="2"/>
  <c r="G68" i="2"/>
  <c r="G93" i="2"/>
  <c r="G86" i="2"/>
  <c r="G50" i="2"/>
  <c r="H86" i="2"/>
  <c r="G61" i="2"/>
  <c r="H53" i="2"/>
  <c r="H47" i="2"/>
  <c r="H26" i="2"/>
  <c r="H68" i="2"/>
  <c r="E66" i="2"/>
  <c r="E93" i="2"/>
  <c r="E48" i="2"/>
  <c r="E50" i="2"/>
  <c r="E53" i="2"/>
  <c r="E46" i="2"/>
  <c r="E33" i="2"/>
  <c r="E86" i="2"/>
  <c r="E68" i="2"/>
  <c r="E91" i="2"/>
  <c r="E56" i="2"/>
  <c r="E34" i="2"/>
  <c r="E89" i="2"/>
  <c r="E44" i="2"/>
  <c r="E94" i="2"/>
  <c r="E52" i="2"/>
  <c r="E62" i="2"/>
  <c r="E47" i="2"/>
  <c r="E42" i="2"/>
  <c r="E24" i="2"/>
  <c r="E81" i="2"/>
  <c r="E82" i="2"/>
  <c r="E26" i="2"/>
  <c r="E45" i="2"/>
  <c r="E61" i="2"/>
  <c r="F44" i="2"/>
  <c r="F62" i="2"/>
  <c r="F47" i="2"/>
  <c r="F42" i="2"/>
  <c r="F24" i="2"/>
  <c r="F50" i="2"/>
  <c r="F68" i="2"/>
  <c r="F61" i="2"/>
  <c r="F52" i="2"/>
  <c r="F91" i="2"/>
  <c r="F26" i="2"/>
  <c r="F81" i="2"/>
  <c r="F93" i="2"/>
  <c r="F56" i="2"/>
  <c r="F34" i="2"/>
  <c r="F53" i="2"/>
  <c r="F89" i="2"/>
  <c r="F45" i="2"/>
  <c r="F82" i="2"/>
  <c r="F48" i="2"/>
  <c r="F66" i="2"/>
  <c r="F86" i="2"/>
  <c r="F72" i="2"/>
  <c r="F46" i="2"/>
  <c r="F33" i="2"/>
  <c r="I62" i="2"/>
  <c r="I68" i="2"/>
  <c r="I93" i="2"/>
  <c r="I82" i="2"/>
  <c r="I48" i="2"/>
  <c r="I45" i="2"/>
  <c r="I81" i="2"/>
  <c r="I72" i="2"/>
  <c r="I86" i="2"/>
  <c r="I52" i="2"/>
  <c r="I85" i="2"/>
  <c r="I91" i="2"/>
  <c r="I26" i="2"/>
  <c r="I50" i="2"/>
  <c r="I61" i="2"/>
  <c r="I83" i="2"/>
  <c r="I47" i="2"/>
  <c r="I42" i="2"/>
  <c r="I24" i="2"/>
  <c r="I66" i="2"/>
  <c r="I49" i="2"/>
  <c r="I56" i="2"/>
  <c r="I34" i="2"/>
  <c r="I46" i="2"/>
  <c r="I33" i="2"/>
  <c r="C37" i="2"/>
  <c r="C9" i="2"/>
  <c r="C10" i="2"/>
  <c r="C88" i="2"/>
  <c r="C11" i="2"/>
  <c r="C8" i="2"/>
  <c r="C98" i="2"/>
  <c r="C97" i="2"/>
  <c r="C38" i="2"/>
  <c r="C39" i="2"/>
  <c r="C12" i="2"/>
  <c r="E10" i="2"/>
  <c r="E98" i="2"/>
  <c r="E9" i="2"/>
  <c r="E37" i="2"/>
  <c r="E97" i="2"/>
  <c r="E38" i="2"/>
  <c r="E12" i="2"/>
  <c r="E39" i="2"/>
  <c r="E8" i="2"/>
  <c r="E88" i="2"/>
  <c r="E11" i="2"/>
  <c r="H8" i="2"/>
  <c r="H39" i="2"/>
  <c r="H9" i="2"/>
  <c r="H10" i="2"/>
  <c r="H97" i="2"/>
  <c r="H38" i="2"/>
  <c r="H37" i="2"/>
  <c r="I98" i="2"/>
  <c r="H98" i="2"/>
  <c r="I37" i="2"/>
  <c r="I88" i="2"/>
  <c r="I11" i="2"/>
  <c r="I39" i="2"/>
  <c r="I8" i="2"/>
  <c r="I97" i="2"/>
  <c r="I38" i="2"/>
  <c r="I12" i="2"/>
  <c r="I10" i="2"/>
  <c r="H88" i="2"/>
  <c r="H11" i="2"/>
  <c r="H12" i="2"/>
  <c r="I9" i="2"/>
  <c r="F37" i="2"/>
  <c r="F88" i="2"/>
  <c r="F11" i="2"/>
  <c r="F9" i="2"/>
  <c r="F97" i="2"/>
  <c r="F38" i="2"/>
  <c r="F12" i="2"/>
  <c r="F8" i="2"/>
  <c r="F98" i="2"/>
  <c r="F10" i="2"/>
  <c r="F39" i="2"/>
  <c r="D12" i="2"/>
  <c r="D97" i="2"/>
  <c r="D38" i="2"/>
  <c r="D88" i="2"/>
  <c r="D11" i="2"/>
  <c r="D39" i="2"/>
  <c r="D37" i="2"/>
  <c r="D8" i="2"/>
  <c r="D10" i="2"/>
  <c r="D98" i="2"/>
  <c r="D9" i="2"/>
  <c r="E18" i="2"/>
  <c r="E21" i="2"/>
  <c r="E25" i="2"/>
  <c r="E27" i="2"/>
  <c r="E30" i="2"/>
  <c r="C30" i="2"/>
  <c r="C25" i="2"/>
  <c r="C18" i="2"/>
  <c r="C21" i="2"/>
  <c r="C27" i="2"/>
  <c r="F30" i="2"/>
  <c r="F27" i="2"/>
  <c r="F21" i="2"/>
  <c r="F25" i="2"/>
  <c r="F18" i="2"/>
  <c r="G49" i="2"/>
  <c r="G94" i="2"/>
  <c r="G47" i="2"/>
  <c r="G85" i="2"/>
  <c r="F83" i="2"/>
  <c r="F49" i="2"/>
  <c r="F94" i="2"/>
  <c r="F85" i="2"/>
  <c r="I21" i="2"/>
  <c r="I30" i="2"/>
  <c r="I18" i="2"/>
  <c r="I25" i="2"/>
  <c r="I27" i="2"/>
  <c r="H27" i="2"/>
  <c r="H30" i="2"/>
  <c r="H21" i="2"/>
  <c r="H18" i="2"/>
  <c r="H25" i="2"/>
  <c r="G27" i="2"/>
  <c r="G25" i="2"/>
  <c r="G18" i="2"/>
  <c r="G30" i="2"/>
  <c r="G21" i="2"/>
  <c r="D30" i="2"/>
  <c r="D18" i="2"/>
  <c r="D27" i="2"/>
  <c r="D25" i="2"/>
  <c r="D21" i="2"/>
</calcChain>
</file>

<file path=xl/sharedStrings.xml><?xml version="1.0" encoding="utf-8"?>
<sst xmlns="http://schemas.openxmlformats.org/spreadsheetml/2006/main" count="196" uniqueCount="169">
  <si>
    <t>Revenue</t>
  </si>
  <si>
    <t>Gross Profit</t>
  </si>
  <si>
    <t>Right click to show data transparency (not supported for all values)</t>
  </si>
  <si>
    <t>Apple Inc (AAPL US) - Financial Overview</t>
  </si>
  <si>
    <t>In Millions of USD except Per Share</t>
  </si>
  <si>
    <t>FY 2018</t>
  </si>
  <si>
    <t>FY 2019</t>
  </si>
  <si>
    <t>FY 2020</t>
  </si>
  <si>
    <t>FY 2021</t>
  </si>
  <si>
    <t>FY 2022</t>
  </si>
  <si>
    <t>FY 2023</t>
  </si>
  <si>
    <t>FY 2024</t>
  </si>
  <si>
    <t>Last 12M</t>
  </si>
  <si>
    <t>FY 2025 Est</t>
  </si>
  <si>
    <t>FY 2026 Est</t>
  </si>
  <si>
    <t>12 Months Ending</t>
  </si>
  <si>
    <t>09/29/2018</t>
  </si>
  <si>
    <t>09/28/2019</t>
  </si>
  <si>
    <t>09/26/2020</t>
  </si>
  <si>
    <t>09/25/2021</t>
  </si>
  <si>
    <t>09/24/2022</t>
  </si>
  <si>
    <t>09/30/2023</t>
  </si>
  <si>
    <t>09/28/2024</t>
  </si>
  <si>
    <t>06/28/2025</t>
  </si>
  <si>
    <t>09/30/2025</t>
  </si>
  <si>
    <t>09/30/2026</t>
  </si>
  <si>
    <t>Overview</t>
  </si>
  <si>
    <t>Current Market Cap</t>
  </si>
  <si>
    <t>CUR_MKT_CAP</t>
  </si>
  <si>
    <t>Cash and Cash Equivalents</t>
  </si>
  <si>
    <t>BS_CASH_NEAR_CASH_ITEM</t>
  </si>
  <si>
    <t>Short Term Investments</t>
  </si>
  <si>
    <t>BS_MKT_SEC_OTHER_ST_INVEST</t>
  </si>
  <si>
    <t>Preferred Equity and Minority Interest</t>
  </si>
  <si>
    <t>PFD_EQTY_MINORTY_INTEREST</t>
  </si>
  <si>
    <t>Short and Long Term Debt</t>
  </si>
  <si>
    <t>SHORT_AND_LONG_TERM_DEBT</t>
  </si>
  <si>
    <t>Enterprise Value</t>
  </si>
  <si>
    <t>CURR_ENTP_VAL</t>
  </si>
  <si>
    <t>Current Shares Outstanding</t>
  </si>
  <si>
    <t>EQY_SH_OUT</t>
  </si>
  <si>
    <t>Shares Outstanding</t>
  </si>
  <si>
    <t>BS_SH_OUT</t>
  </si>
  <si>
    <t xml:space="preserve">    Growth (YoY)</t>
  </si>
  <si>
    <t>Income Statement</t>
  </si>
  <si>
    <t>SALES_REV_TURN</t>
  </si>
  <si>
    <t xml:space="preserve">    Growth (Seq)</t>
  </si>
  <si>
    <t>GROSS_PROFIT</t>
  </si>
  <si>
    <t>Gross Margin</t>
  </si>
  <si>
    <t>GROSS_MARGIN</t>
  </si>
  <si>
    <t>Operating Income or Losses</t>
  </si>
  <si>
    <t>IS_OPER_INC</t>
  </si>
  <si>
    <t>Operating Margin</t>
  </si>
  <si>
    <t>OPER_MARGIN</t>
  </si>
  <si>
    <t>EBITDA</t>
  </si>
  <si>
    <t>Net Income/Net Profit (Losses)</t>
  </si>
  <si>
    <t>NET_INCOME</t>
  </si>
  <si>
    <t>Profit Margin</t>
  </si>
  <si>
    <t>PROF_MARGIN</t>
  </si>
  <si>
    <t>Basic Earnings per Share</t>
  </si>
  <si>
    <t>IS_EPS</t>
  </si>
  <si>
    <t>Cashflow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</si>
  <si>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</si>
  <si>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</si>
  <si>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</si>
  <si>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</si>
  <si>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</si>
  <si>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</si>
  <si>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Profitability Ratios</t>
  </si>
  <si>
    <t>EBITDA Margin Adjusted</t>
  </si>
  <si>
    <t>EBITDA_MARGIN_ADJUSTED</t>
  </si>
  <si>
    <t>EBITDA Margin</t>
  </si>
  <si>
    <t>EBITDA_TO_REVENUE</t>
  </si>
  <si>
    <t>EBIT Margin</t>
  </si>
  <si>
    <t>EBIT_TO_NET_SALES</t>
  </si>
  <si>
    <t>T12 Free Cash Flow Margin</t>
  </si>
  <si>
    <t>T12_FCF_MARGIN</t>
  </si>
  <si>
    <t>Return on Common Equity</t>
  </si>
  <si>
    <t>RETURN_COM_EQY</t>
  </si>
  <si>
    <t>Return on Tangible Equity</t>
  </si>
  <si>
    <t>RETURN_ON_TANGIBLE_EQUITY</t>
  </si>
  <si>
    <t>Return on Assets</t>
  </si>
  <si>
    <t>RETURN_ON_ASSET</t>
  </si>
  <si>
    <t>Weighted Average Cost of Cap</t>
  </si>
  <si>
    <t>WACC</t>
  </si>
  <si>
    <t>Return on Invested Capital</t>
  </si>
  <si>
    <t>RETURN_ON_INV_CAPITAL</t>
  </si>
  <si>
    <t>Return On Capital Employed</t>
  </si>
  <si>
    <t>RETURN_ON_CAPITAL_EMPLOYED</t>
  </si>
  <si>
    <t>Valuation Metrics</t>
  </si>
  <si>
    <t>Cash Flow per Share</t>
  </si>
  <si>
    <t>CASH_FLOW_PER_SH</t>
  </si>
  <si>
    <t>Price Earnings Ratio (P/E)</t>
  </si>
  <si>
    <t>PE_RATIO</t>
  </si>
  <si>
    <t>BEst P/E Ratio</t>
  </si>
  <si>
    <t>BEST_PE_RATIO</t>
  </si>
  <si>
    <t>BEst PEG Ratio</t>
  </si>
  <si>
    <t>BEST_PEG_RATIO</t>
  </si>
  <si>
    <t>Enterprise Value/EBIT</t>
  </si>
  <si>
    <t>CURRENT_EV_TO_T12M_EBIT</t>
  </si>
  <si>
    <t>Enterprise Value/EBITDA</t>
  </si>
  <si>
    <t>CURRENT_EV_TO_T12M_EBITDA</t>
  </si>
  <si>
    <t>Price to Book Ratio</t>
  </si>
  <si>
    <t>PX_TO_BOOK_RATIO</t>
  </si>
  <si>
    <t>Book Value per Share</t>
  </si>
  <si>
    <t>BOOK_VAL_PER_SH</t>
  </si>
  <si>
    <t>Net Asset Value (NAV)</t>
  </si>
  <si>
    <t>FUND_NET_ASSET_VAL</t>
  </si>
  <si>
    <t>Price to Sales Ratio</t>
  </si>
  <si>
    <t>PX_TO_SALES_RATIO</t>
  </si>
  <si>
    <t>EV / BEst Sales</t>
  </si>
  <si>
    <t>BEST_CURRENT_EV_BEST_SALES</t>
  </si>
  <si>
    <t>EV To Trailing 12M Sales</t>
  </si>
  <si>
    <t>CURRENT_EV_TO_12M_SALES</t>
  </si>
  <si>
    <t>Price/Cash Flow</t>
  </si>
  <si>
    <t>PX_TO_CASH_FLOW</t>
  </si>
  <si>
    <t>Dividend Per Share</t>
  </si>
  <si>
    <t>IS_DIV_PER_SHR</t>
  </si>
  <si>
    <t>Dividend Indicated Yld - Gross</t>
  </si>
  <si>
    <t>EQY_DVD_YLD_IND</t>
  </si>
  <si>
    <t>Dividend Payout Ratio</t>
  </si>
  <si>
    <t>DVD_PAYOUT_RATIO</t>
  </si>
  <si>
    <t>Free Cash Flow Yield</t>
  </si>
  <si>
    <t>FREE_CASH_FLOW_YIELD</t>
  </si>
  <si>
    <t>Financial Ratios</t>
  </si>
  <si>
    <t>Total Debt to Total Equity</t>
  </si>
  <si>
    <t>TOT_DEBT_TO_TOT_EQY</t>
  </si>
  <si>
    <t>Net Debt To Shareholders Equity</t>
  </si>
  <si>
    <t>NET_DEBT_TO_SHRHLDR_EQTY</t>
  </si>
  <si>
    <t>Cash Ratio</t>
  </si>
  <si>
    <t>CASH_RATIO</t>
  </si>
  <si>
    <t>Current Ratio</t>
  </si>
  <si>
    <t>CUR_RATIO</t>
  </si>
  <si>
    <t>Quick Ratio</t>
  </si>
  <si>
    <t>QUICK_RATIO</t>
  </si>
  <si>
    <t>EBIT/Interest</t>
  </si>
  <si>
    <t>INTEREST_COVERAGE_RATIO</t>
  </si>
  <si>
    <t>Net Interest Coverage</t>
  </si>
  <si>
    <t>NET_INTEREST_COVERAGE</t>
  </si>
  <si>
    <t>Days in Accounts Receivable</t>
  </si>
  <si>
    <t>DAYS_ACCOUNTS_RECEIVABLE</t>
  </si>
  <si>
    <t>Days in Accounts Payable</t>
  </si>
  <si>
    <t>DAYS_ACCOUNTS_PAYABLE</t>
  </si>
  <si>
    <t>Inventory Days</t>
  </si>
  <si>
    <t>INVENT_DAYS</t>
  </si>
  <si>
    <t>Cash Conversion Cycle</t>
  </si>
  <si>
    <t>CASH_CONVERSION_CYCLE</t>
  </si>
  <si>
    <t>Assets/Equity</t>
  </si>
  <si>
    <t>ASSET_TO_EQY</t>
  </si>
  <si>
    <t>Asset Turnover</t>
  </si>
  <si>
    <t>ASSET_TURNOVER</t>
  </si>
  <si>
    <t>Change in Retained Earnings to Prev Year's Equity</t>
  </si>
  <si>
    <t>CHG_IN_RET_EARN_TO_PREV_YR_EQ</t>
  </si>
  <si>
    <t>Retention Ratio</t>
  </si>
  <si>
    <t>RETENTION_RATIO</t>
  </si>
  <si>
    <t>Retained Earnings to Total Assets</t>
  </si>
  <si>
    <t>RETAIN_EARN_TO_TOT_ASSET</t>
  </si>
  <si>
    <t>Capital Expenditure to Sales</t>
  </si>
  <si>
    <t>CAP_EXPEND_TO_SALES</t>
  </si>
  <si>
    <t>Trailing 12M R&amp;D % Sales</t>
  </si>
  <si>
    <t>TRAILING_12M_R&amp;D_%_SALES</t>
  </si>
  <si>
    <t>Others</t>
  </si>
  <si>
    <t>Depreciation &amp; Amortization</t>
  </si>
  <si>
    <t>CF_DEPR_AMORT</t>
  </si>
  <si>
    <t>Capital Expenditure to Depreciation Expense</t>
  </si>
  <si>
    <t>CAPEX_TO_DEPR_EXPN_RATIO</t>
  </si>
  <si>
    <t>CAPEX to Depreciation Expense 5 Year Average</t>
  </si>
  <si>
    <t>5Y_AVG_CAPEX_TO_DEPR_EXPN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</si>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</sst>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171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3" fontId="8" fillId="35" borderId="2">
      <alignment horizontal="right"/>
    </xf>
    <xf numFmtId="171" fontId="11" fillId="34" borderId="2">
      <alignment horizontal="right"/>
    </xf>
    <xf numFmtId="171" fontId="11" fillId="35" borderId="2">
      <alignment horizontal="right"/>
    </xf>
  </cellStyleXfs>
  <cellXfs count="20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171" fontId="1" fillId="34" borderId="2" xfId="53">
      <alignment horizontal="right"/>
    </xf>
    <xf numFmtId="4" fontId="1" fillId="34" borderId="2" xfId="54">
      <alignment horizontal="right"/>
    </xf>
    <xf numFmtId="171" fontId="1" fillId="35" borderId="2" xfId="55">
      <alignment horizontal="right"/>
    </xf>
    <xf numFmtId="4" fontId="1" fillId="35" borderId="2" xfId="56">
      <alignment horizontal="right"/>
    </xf>
    <xf numFmtId="3" fontId="8" fillId="34" borderId="2" xfId="57">
      <alignment horizontal="right"/>
    </xf>
    <xf numFmtId="3" fontId="8" fillId="35" borderId="2" xfId="58">
      <alignment horizontal="right"/>
    </xf>
    <xf numFmtId="171" fontId="11" fillId="34" borderId="2" xfId="59">
      <alignment horizontal="right"/>
    </xf>
    <xf numFmtId="171" fontId="11" fillId="35" borderId="2" xfId="60">
      <alignment horizontal="right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7" xr:uid="{00000000-0005-0000-0000-000023000000}"/>
    <cellStyle name="fa_data_current_bold_0_grouped" xfId="58" xr:uid="{00000000-0005-0000-0000-000024000000}"/>
    <cellStyle name="fa_data_current_italic_1_grouped" xfId="60" xr:uid="{00000000-0005-0000-0000-000025000000}"/>
    <cellStyle name="fa_data_current_standard_1_grouped" xfId="55" xr:uid="{00000000-0005-0000-0000-000026000000}"/>
    <cellStyle name="fa_data_current_standard_2_grouped" xfId="56" xr:uid="{00000000-0005-0000-0000-000027000000}"/>
    <cellStyle name="fa_data_italic_1_grouped" xfId="59" xr:uid="{00000000-0005-0000-0000-000028000000}"/>
    <cellStyle name="fa_data_standard_1_grouped" xfId="53" xr:uid="{00000000-0005-0000-0000-000029000000}"/>
    <cellStyle name="fa_data_standard_2_grouped" xfId="54" xr:uid="{00000000-0005-0000-0000-00002A000000}"/>
    <cellStyle name="fa_footer_italic" xfId="34" xr:uid="{00000000-0005-0000-0000-00002B000000}"/>
    <cellStyle name="fa_row_header_bold" xfId="35" xr:uid="{00000000-0005-0000-0000-00002C000000}"/>
    <cellStyle name="fa_row_header_italic" xfId="36" xr:uid="{00000000-0005-0000-0000-00002D000000}"/>
    <cellStyle name="fa_row_header_standard" xfId="37" xr:uid="{00000000-0005-0000-0000-00002E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BDH|12177856005117750758</stp>
        <tr r="D70" s="2"/>
      </tp>
      <tp t="s">
        <v>#N/A N/A</v>
        <stp/>
        <stp>BDH|11218273700761568826</stp>
        <tr r="H77" s="2"/>
      </tp>
      <tp t="s">
        <v>#N/A N/A</v>
        <stp/>
        <stp>BDH|10935211192688607998</stp>
        <tr r="D72" s="2"/>
      </tp>
      <tp t="s">
        <v>#N/A N/A</v>
        <stp/>
        <stp>BDH|15929080196121199710</stp>
        <tr r="G80" s="2"/>
      </tp>
      <tp t="s">
        <v>#N/A N/A</v>
        <stp/>
        <stp>BDH|10874875066903199739</stp>
        <tr r="H11" s="2"/>
        <tr r="H88" s="2"/>
      </tp>
      <tp t="s">
        <v>#N/A N/A</v>
        <stp/>
        <stp>BDH|17750415088360376161</stp>
        <tr r="C49" s="2"/>
      </tp>
      <tp t="s">
        <v>#N/A N/A</v>
        <stp/>
        <stp>BDH|18446395932826127441</stp>
        <tr r="F30" s="2"/>
      </tp>
    </main>
    <main first="bofaddin.rtdserver">
      <tp t="s">
        <v>#N/A N/A</v>
        <stp/>
        <stp>BDH|10420213060629191656</stp>
        <tr r="I51" s="2"/>
      </tp>
      <tp t="s">
        <v>#N/A N/A</v>
        <stp/>
        <stp>BDH|15299652066699676769</stp>
        <tr r="C73" s="2"/>
      </tp>
      <tp t="s">
        <v>#N/A N/A</v>
        <stp/>
        <stp>BDH|18258881427288824146</stp>
        <tr r="H83" s="2"/>
      </tp>
      <tp t="s">
        <v>#N/A N/A</v>
        <stp/>
        <stp>BDH|10637703684552250610</stp>
        <tr r="I62" s="2"/>
      </tp>
      <tp t="s">
        <v>#N/A N/A</v>
        <stp/>
        <stp>BDH|16119420861177014815</stp>
        <tr r="E85" s="2"/>
      </tp>
      <tp t="s">
        <v>#N/A N/A</v>
        <stp/>
        <stp>BDH|17977263976399952059</stp>
        <tr r="H39" s="2"/>
      </tp>
      <tp t="s">
        <v>#N/A N/A</v>
        <stp/>
        <stp>BDH|13118049347075269944</stp>
        <tr r="D38" s="2"/>
        <tr r="D97" s="2"/>
      </tp>
      <tp t="s">
        <v>#N/A N/A</v>
        <stp/>
        <stp>BDH|18093253213134090422</stp>
        <tr r="G9" s="2"/>
      </tp>
      <tp t="s">
        <v>#N/A N/A</v>
        <stp/>
        <stp>BDH|16807495985953562297</stp>
        <tr r="H78" s="2"/>
      </tp>
      <tp t="s">
        <v>#N/A N/A</v>
        <stp/>
        <stp>BDH|12651003373907693988</stp>
        <tr r="I52" s="2"/>
      </tp>
      <tp t="s">
        <v>#N/A N/A</v>
        <stp/>
        <stp>BDH|12471237671135269983</stp>
        <tr r="I53" s="2"/>
      </tp>
    </main>
    <main first="bofaddin.rtdserver">
      <tp t="s">
        <v>#N/A N/A</v>
        <stp/>
        <stp>BDH|16068881247892747086</stp>
        <tr r="E77" s="2"/>
      </tp>
      <tp t="s">
        <v>#N/A N/A</v>
        <stp/>
        <stp>BDH|11515625030425053947</stp>
        <tr r="I99" s="2"/>
      </tp>
      <tp t="s">
        <v>#N/A N/A</v>
        <stp/>
        <stp>BDH|16269890101011940763</stp>
        <tr r="H13" s="2"/>
      </tp>
      <tp t="s">
        <v>#N/A N/A</v>
        <stp/>
        <stp>BDH|18031799978137766724</stp>
        <tr r="H34" s="2"/>
        <tr r="H56" s="2"/>
      </tp>
      <tp t="s">
        <v>#N/A N/A</v>
        <stp/>
        <stp>BDH|16349116910927079943</stp>
        <tr r="E57" s="2"/>
      </tp>
      <tp t="s">
        <v>#N/A N/A</v>
        <stp/>
        <stp>BDH|10580515360283475866</stp>
        <tr r="F25" s="2"/>
      </tp>
      <tp t="s">
        <v>#N/A N/A</v>
        <stp/>
        <stp>BDH|15160302608556510843</stp>
        <tr r="F83" s="2"/>
      </tp>
      <tp t="s">
        <v>#N/A N/A</v>
        <stp/>
        <stp>BDH|11424581192274512170</stp>
        <tr r="D49" s="2"/>
      </tp>
      <tp t="s">
        <v>#N/A N/A</v>
        <stp/>
        <stp>BDH|10389846505601956146</stp>
        <tr r="F9" s="2"/>
      </tp>
      <tp t="s">
        <v>#N/A N/A</v>
        <stp/>
        <stp>BDH|10837571021336371928</stp>
        <tr r="E8" s="2"/>
      </tp>
    </main>
    <main first="bofaddin.rtdserver">
      <tp t="s">
        <v>#N/A N/A</v>
        <stp/>
        <stp>BDH|11949774306529029699</stp>
        <tr r="I98" s="2"/>
      </tp>
      <tp t="s">
        <v>#N/A N/A</v>
        <stp/>
        <stp>BDH|14181684175079872548</stp>
        <tr r="E87" s="2"/>
      </tp>
      <tp t="s">
        <v>#N/A N/A</v>
        <stp/>
        <stp>BDH|17186476285334793644</stp>
        <tr r="F44" s="2"/>
      </tp>
      <tp t="s">
        <v>#N/A N/A</v>
        <stp/>
        <stp>BDH|11657143922542760944</stp>
        <tr r="E39" s="2"/>
      </tp>
      <tp t="s">
        <v>#N/A N/A</v>
        <stp/>
        <stp>BDH|12253832800314431774</stp>
        <tr r="H98" s="2"/>
      </tp>
      <tp t="s">
        <v>#N/A N/A</v>
        <stp/>
        <stp>BDH|16294273422499054659</stp>
        <tr r="D67" s="2"/>
      </tp>
      <tp t="s">
        <v>#N/A N/A</v>
        <stp/>
        <stp>BDH|14130814908600678599</stp>
        <tr r="D11" s="2"/>
        <tr r="D88" s="2"/>
      </tp>
      <tp t="s">
        <v>#N/A N/A</v>
        <stp/>
        <stp>BDH|10175801950215117175</stp>
        <tr r="F93" s="2"/>
      </tp>
      <tp t="s">
        <v>#N/A N/A</v>
        <stp/>
        <stp>BDH|14901015684374206190</stp>
        <tr r="D45" s="2"/>
      </tp>
      <tp t="s">
        <v>#N/A N/A</v>
        <stp/>
        <stp>BDH|14706925014815963015</stp>
        <tr r="C68" s="2"/>
      </tp>
      <tp t="s">
        <v>#N/A N/A</v>
        <stp/>
        <stp>BDH|16122431414879742382</stp>
        <tr r="G13" s="2"/>
      </tp>
      <tp t="s">
        <v>#N/A N/A</v>
        <stp/>
        <stp>BDH|11601952609240506173</stp>
        <tr r="F52" s="2"/>
      </tp>
      <tp t="s">
        <v>#N/A N/A</v>
        <stp/>
        <stp>BDH|10730910266807958147</stp>
        <tr r="C90" s="2"/>
      </tp>
      <tp t="s">
        <v>#N/A N/A</v>
        <stp/>
        <stp>BDH|16119444890805190790</stp>
        <tr r="D71" s="2"/>
      </tp>
      <tp t="s">
        <v>#N/A N/A</v>
        <stp/>
        <stp>BDH|15750998816202608629</stp>
        <tr r="E92" s="2"/>
      </tp>
      <tp t="s">
        <v>#N/A N/A</v>
        <stp/>
        <stp>BDH|10981112287670549058</stp>
        <tr r="E89" s="2"/>
      </tp>
      <tp t="s">
        <v>#N/A N/A</v>
        <stp/>
        <stp>BDH|17618375347378983108</stp>
        <tr r="E50" s="2"/>
      </tp>
      <tp t="s">
        <v>#N/A N/A</v>
        <stp/>
        <stp>BDH|14843401661409404630</stp>
        <tr r="F14" s="2"/>
      </tp>
    </main>
    <main first="bofaddin.rtdserver">
      <tp t="s">
        <v>#N/A N/A</v>
        <stp/>
        <stp>BDH|11692862771371626164</stp>
        <tr r="E12" s="2"/>
      </tp>
      <tp t="s">
        <v>#N/A N/A</v>
        <stp/>
        <stp>BDH|15038244738003881944</stp>
        <tr r="I89" s="2"/>
      </tp>
      <tp t="s">
        <v>#N/A N/A</v>
        <stp/>
        <stp>BDH|16746857611223055230</stp>
        <tr r="C57" s="2"/>
      </tp>
      <tp t="s">
        <v>#N/A N/A</v>
        <stp/>
        <stp>BDH|11849698312760657862</stp>
        <tr r="G52" s="2"/>
      </tp>
      <tp t="s">
        <v>#N/A N/A</v>
        <stp/>
        <stp>BDH|17431779830108643577</stp>
        <tr r="G77" s="2"/>
      </tp>
      <tp t="s">
        <v>#N/A N/A</v>
        <stp/>
        <stp>BDH|15547637751029405169</stp>
        <tr r="C85" s="2"/>
      </tp>
      <tp t="s">
        <v>#N/A N/A</v>
        <stp/>
        <stp>BDH|15893632739988183669</stp>
        <tr r="E53" s="2"/>
      </tp>
      <tp t="s">
        <v>#N/A N/A</v>
        <stp/>
        <stp>BDH|14791480191082926512</stp>
        <tr r="G82" s="2"/>
      </tp>
      <tp t="s">
        <v>#N/A N/A</v>
        <stp/>
        <stp>BDH|16768974906237592656</stp>
        <tr r="C100" s="2"/>
      </tp>
      <tp t="s">
        <v>#N/A N/A</v>
        <stp/>
        <stp>BDH|13602877804764453182</stp>
        <tr r="I21" s="2"/>
      </tp>
      <tp t="s">
        <v>#N/A N/A</v>
        <stp/>
        <stp>BDH|12983428007301433915</stp>
        <tr r="H38" s="2"/>
        <tr r="H97" s="2"/>
      </tp>
      <tp t="s">
        <v>#N/A N/A</v>
        <stp/>
        <stp>BDH|16430831968461130766</stp>
        <tr r="D65" s="2"/>
      </tp>
      <tp t="s">
        <v>#N/A N/A</v>
        <stp/>
        <stp>BDH|13399223185475928273</stp>
        <tr r="G63" s="2"/>
      </tp>
      <tp t="s">
        <v>#N/A N/A</v>
        <stp/>
        <stp>BDH|17292055793846915678</stp>
        <tr r="G49" s="2"/>
      </tp>
      <tp t="s">
        <v>#N/A N/A</v>
        <stp/>
        <stp>BDH|12754921275231916344</stp>
        <tr r="F51" s="2"/>
      </tp>
      <tp t="s">
        <v>#N/A N/A</v>
        <stp/>
        <stp>BDH|11879767307688528010</stp>
        <tr r="C21" s="2"/>
      </tp>
      <tp t="s">
        <v>#N/A N/A</v>
        <stp/>
        <stp>BDH|16609585843750483950</stp>
        <tr r="D69" s="2"/>
      </tp>
      <tp t="s">
        <v>#N/A N/A</v>
        <stp/>
        <stp>BDH|15922120953888040777</stp>
        <tr r="F37" s="2"/>
      </tp>
      <tp t="s">
        <v>#N/A N/A</v>
        <stp/>
        <stp>BDH|14277291046044686857</stp>
        <tr r="D7" s="2"/>
      </tp>
    </main>
    <main first="bofaddin.rtdserver">
      <tp t="s">
        <v>#N/A N/A</v>
        <stp/>
        <stp>BDH|15538552910058639668</stp>
        <tr r="F50" s="2"/>
      </tp>
    </main>
    <main first="bofaddin.rtdserver">
      <tp t="s">
        <v>#N/A N/A</v>
        <stp/>
        <stp>BDH|11404770590401190100</stp>
        <tr r="C8" s="2"/>
      </tp>
      <tp t="s">
        <v>#N/A N/A</v>
        <stp/>
        <stp>BDH|11034666998106592799</stp>
        <tr r="H72" s="2"/>
      </tp>
      <tp t="s">
        <v>#N/A N/A</v>
        <stp/>
        <stp>BDH|15200885195769905225</stp>
        <tr r="H45" s="2"/>
      </tp>
      <tp t="s">
        <v>#N/A N/A</v>
        <stp/>
        <stp>BDH|17375948809522965338</stp>
        <tr r="E71" s="2"/>
      </tp>
      <tp t="s">
        <v>#N/A N/A</v>
        <stp/>
        <stp>BDH|16885418660672612987</stp>
        <tr r="I80" s="2"/>
      </tp>
      <tp t="s">
        <v>#N/A N/A</v>
        <stp/>
        <stp>BDH|15673743251909379192</stp>
        <tr r="E9" s="2"/>
      </tp>
      <tp t="s">
        <v>#N/A N/A</v>
        <stp/>
        <stp>BDH|12948450552549718504</stp>
        <tr r="F61" s="2"/>
      </tp>
      <tp t="s">
        <v>#N/A N/A</v>
        <stp/>
        <stp>BDH|12053691520709089012</stp>
        <tr r="G26" s="2"/>
      </tp>
      <tp t="s">
        <v>#N/A N/A</v>
        <stp/>
        <stp>BDH|16388880803198923993</stp>
        <tr r="E98" s="2"/>
      </tp>
    </main>
    <main first="bofaddin.rtdserver">
      <tp t="s">
        <v>#N/A N/A</v>
        <stp/>
        <stp>BDH|17108710096535825352</stp>
        <tr r="G43" s="2"/>
      </tp>
      <tp t="s">
        <v>#N/A N/A</v>
        <stp/>
        <stp>BDH|11209274994607928226</stp>
        <tr r="G83" s="2"/>
      </tp>
      <tp t="s">
        <v>#N/A N/A</v>
        <stp/>
        <stp>BDH|11124526719253510932</stp>
        <tr r="F91" s="2"/>
      </tp>
      <tp t="s">
        <v>#N/A N/A</v>
        <stp/>
        <stp>BDH|10466862688279003662</stp>
        <tr r="I71" s="2"/>
      </tp>
      <tp t="s">
        <v>#N/A N/A</v>
        <stp/>
        <stp>BDH|17524188520168462365</stp>
        <tr r="C84" s="2"/>
      </tp>
      <tp t="s">
        <v>#N/A N/A</v>
        <stp/>
        <stp>BDH|17532998017380048044</stp>
        <tr r="E58" s="2"/>
      </tp>
    </main>
    <main first="bofaddin.rtdserver">
      <tp t="s">
        <v>#N/A N/A</v>
        <stp/>
        <stp>BDH|17502842027095111461</stp>
        <tr r="C72" s="2"/>
      </tp>
      <tp t="s">
        <v>#N/A N/A</v>
        <stp/>
        <stp>BDH|16132353571039132753</stp>
        <tr r="D85" s="2"/>
      </tp>
    </main>
    <main first="bofaddin.rtdserver">
      <tp t="s">
        <v>#N/A N/A</v>
        <stp/>
        <stp>BDH|17221170585893619156</stp>
        <tr r="H51" s="2"/>
      </tp>
      <tp t="s">
        <v>#N/A N/A</v>
        <stp/>
        <stp>BDH|18306103361495625679</stp>
        <tr r="D43" s="2"/>
      </tp>
      <tp t="s">
        <v>#N/A N/A</v>
        <stp/>
        <stp>BDH|10752066683886119242</stp>
        <tr r="C91" s="2"/>
      </tp>
    </main>
    <main first="bofaddin.rtdserver">
      <tp t="s">
        <v>#N/A N/A</v>
        <stp/>
        <stp>BDH|12199408059129367630</stp>
        <tr r="E83" s="2"/>
      </tp>
    </main>
    <main first="bofaddin.rtdserver">
      <tp t="s">
        <v>#N/A N/A</v>
        <stp/>
        <stp>BDH|12557081514766184941</stp>
        <tr r="H99" s="2"/>
      </tp>
      <tp t="s">
        <v>#N/A N/A</v>
        <stp/>
        <stp>BDH|14819290629488488031</stp>
        <tr r="E65" s="2"/>
      </tp>
      <tp t="s">
        <v>#N/A N/A</v>
        <stp/>
        <stp>BDH|14300719872089968174</stp>
        <tr r="G73" s="2"/>
      </tp>
      <tp t="s">
        <v>#N/A N/A</v>
        <stp/>
        <stp>BDH|17023003086625867604</stp>
        <tr r="D30" s="2"/>
      </tp>
    </main>
    <main first="bofaddin.rtdserver">
      <tp t="s">
        <v>#N/A N/A</v>
        <stp/>
        <stp>BDH|10193952014105262033</stp>
        <tr r="D51" s="2"/>
      </tp>
      <tp t="s">
        <v>#N/A N/A</v>
        <stp/>
        <stp>BDH|14638837474783715572</stp>
        <tr r="C66" s="2"/>
      </tp>
      <tp t="s">
        <v>#N/A N/A</v>
        <stp/>
        <stp>BDH|13729238290113688615</stp>
        <tr r="I72" s="2"/>
      </tp>
      <tp t="s">
        <v>#N/A N/A</v>
        <stp/>
        <stp>BDH|17605727071372485841</stp>
        <tr r="F84" s="2"/>
      </tp>
      <tp t="s">
        <v>#N/A N/A</v>
        <stp/>
        <stp>BDH|16297523761479081162</stp>
        <tr r="H90" s="2"/>
      </tp>
      <tp t="s">
        <v>#N/A N/A</v>
        <stp/>
        <stp>BDH|14373669266729455015</stp>
        <tr r="G25" s="2"/>
      </tp>
      <tp t="s">
        <v>#N/A N/A</v>
        <stp/>
        <stp>BDH|13042143423545510840</stp>
        <tr r="C51" s="2"/>
      </tp>
      <tp t="s">
        <v>#N/A N/A</v>
        <stp/>
        <stp>BDH|11566999929654388306</stp>
        <tr r="C10" s="2"/>
      </tp>
      <tp t="s">
        <v>#N/A N/A</v>
        <stp/>
        <stp>BDH|17677653622999923726</stp>
        <tr r="D94" s="2"/>
      </tp>
      <tp t="s">
        <v>#N/A N/A</v>
        <stp/>
        <stp>BDH|11921425616678128123</stp>
        <tr r="D52" s="2"/>
      </tp>
    </main>
    <main first="bofaddin.rtdserver">
      <tp t="s">
        <v>#N/A N/A</v>
        <stp/>
        <stp>BDH|14423665210769167829</stp>
        <tr r="H81" s="2"/>
      </tp>
      <tp t="s">
        <v>#N/A N/A</v>
        <stp/>
        <stp>BDH|16319771769977553285</stp>
        <tr r="I94" s="2"/>
      </tp>
      <tp t="s">
        <v>#N/A N/A</v>
        <stp/>
        <stp>BDH|10213060833619251855</stp>
        <tr r="I37" s="2"/>
      </tp>
      <tp t="s">
        <v>#N/A N/A</v>
        <stp/>
        <stp>BDH|15214833789090817720</stp>
        <tr r="G27" s="2"/>
      </tp>
    </main>
    <main first="bofaddin.rtdserver">
      <tp t="s">
        <v>#N/A N/A</v>
        <stp/>
        <stp>BDH|14557467463727715352</stp>
        <tr r="I44" s="2"/>
      </tp>
      <tp t="s">
        <v>#N/A N/A</v>
        <stp/>
        <stp>BDH|16653903289103377699</stp>
        <tr r="C94" s="2"/>
      </tp>
      <tp t="s">
        <v>#N/A N/A</v>
        <stp/>
        <stp>BDH|11688246526192678161</stp>
        <tr r="F27" s="2"/>
      </tp>
      <tp t="s">
        <v>#N/A N/A</v>
        <stp/>
        <stp>BDH|13927657069873621278</stp>
        <tr r="F76" s="2"/>
      </tp>
      <tp t="s">
        <v>#N/A N/A</v>
        <stp/>
        <stp>BDH|11800765678886017503</stp>
        <tr r="F63" s="2"/>
      </tp>
      <tp t="s">
        <v>#N/A N/A</v>
        <stp/>
        <stp>BDH|11972548975768920982</stp>
        <tr r="D8" s="2"/>
      </tp>
      <tp t="s">
        <v>#N/A N/A</v>
        <stp/>
        <stp>BDH|12757203043956772086</stp>
        <tr r="D34" s="2"/>
        <tr r="D56" s="2"/>
      </tp>
      <tp t="s">
        <v>#N/A N/A</v>
        <stp/>
        <stp>BDH|10006432518606524156</stp>
        <tr r="E13" s="2"/>
      </tp>
      <tp t="s">
        <v>#N/A N/A</v>
        <stp/>
        <stp>BDH|10238578370707016792</stp>
        <tr r="C14" s="2"/>
      </tp>
      <tp t="s">
        <v>#N/A N/A</v>
        <stp/>
        <stp>BDH|15431141203612553488</stp>
        <tr r="G53" s="2"/>
      </tp>
    </main>
    <main first="bofaddin.rtdserver">
      <tp t="s">
        <v>#N/A N/A</v>
        <stp/>
        <stp>BDH|16621402515388590818</stp>
        <tr r="E48" s="2"/>
      </tp>
      <tp t="s">
        <v>#N/A N/A</v>
        <stp/>
        <stp>BDH|17173491946126037296</stp>
        <tr r="I45" s="2"/>
      </tp>
      <tp t="s">
        <v>#N/A N/A</v>
        <stp/>
        <stp>BDH|15769775676406646071</stp>
        <tr r="F79" s="2"/>
      </tp>
      <tp t="s">
        <v>#N/A N/A</v>
        <stp/>
        <stp>BDH|11392414275904025504</stp>
        <tr r="I92" s="2"/>
      </tp>
      <tp t="s">
        <v>#N/A N/A</v>
        <stp/>
        <stp>BDH|16422770583193767917</stp>
        <tr r="G62" s="2"/>
      </tp>
      <tp t="s">
        <v>#N/A N/A</v>
        <stp/>
        <stp>BDH|16759286190797629912</stp>
        <tr r="D61" s="2"/>
      </tp>
      <tp t="s">
        <v>#N/A N/A</v>
        <stp/>
        <stp>BDH|11525679318623252636</stp>
        <tr r="I84" s="2"/>
      </tp>
      <tp t="s">
        <v>#N/A N/A</v>
        <stp/>
        <stp>BDH|14027338802354830056</stp>
        <tr r="C82" s="2"/>
      </tp>
    </main>
    <main first="bofaddin.rtdserver">
      <tp t="s">
        <v>#N/A N/A</v>
        <stp/>
        <stp>BDH|12927712846265713482</stp>
        <tr r="I86" s="2"/>
      </tp>
      <tp t="s">
        <v>#N/A N/A</v>
        <stp/>
        <stp>BDH|11630310064162743657</stp>
        <tr r="D62" s="2"/>
      </tp>
      <tp t="s">
        <v>#N/A N/A</v>
        <stp/>
        <stp>BDH|11128580755039457889</stp>
        <tr r="C18" s="2"/>
      </tp>
      <tp t="s">
        <v>#N/A N/A</v>
        <stp/>
        <stp>BDH|14574154508766834301</stp>
        <tr r="F68" s="2"/>
      </tp>
      <tp t="s">
        <v>#N/A N/A</v>
        <stp/>
        <stp>BDH|18001330714992763835</stp>
        <tr r="E66" s="2"/>
      </tp>
      <tp t="s">
        <v>#N/A N/A</v>
        <stp/>
        <stp>BDH|12040124423681714040</stp>
        <tr r="I7" s="2"/>
      </tp>
      <tp t="s">
        <v>#N/A N/A</v>
        <stp/>
        <stp>BDH|11865767029973572777</stp>
        <tr r="C61" s="2"/>
      </tp>
      <tp t="s">
        <v>#N/A N/A</v>
        <stp/>
        <stp>BDH|14685006140549473971</stp>
        <tr r="F73" s="2"/>
      </tp>
      <tp t="s">
        <v>#N/A N/A</v>
        <stp/>
        <stp>BDH|14912109459480547004</stp>
        <tr r="G45" s="2"/>
      </tp>
    </main>
    <main first="bofaddin.rtdserver">
      <tp t="s">
        <v>#N/A N/A</v>
        <stp/>
        <stp>BDH|14845935234866970823</stp>
        <tr r="F59" s="2"/>
      </tp>
      <tp t="s">
        <v>#N/A N/A</v>
        <stp/>
        <stp>BDH|13943414564545109494</stp>
        <tr r="F99" s="2"/>
      </tp>
      <tp t="s">
        <v>#N/A N/A</v>
        <stp/>
        <stp>BDH|12646361030264297653</stp>
        <tr r="F13" s="2"/>
      </tp>
      <tp t="s">
        <v>#N/A N/A</v>
        <stp/>
        <stp>BDH|11015890971858975662</stp>
        <tr r="I68" s="2"/>
      </tp>
    </main>
    <main first="bofaddin.rtdserver">
      <tp t="s">
        <v>#N/A N/A</v>
        <stp/>
        <stp>BDH|11036129930982012149</stp>
        <tr r="E34" s="2"/>
        <tr r="E56" s="2"/>
      </tp>
      <tp t="s">
        <v>#N/A N/A</v>
        <stp/>
        <stp>BDH|13266144875674213173</stp>
        <tr r="H43" s="2"/>
      </tp>
      <tp t="s">
        <v>#N/A N/A</v>
        <stp/>
        <stp>BDH|16491446569714447042</stp>
        <tr r="H80" s="2"/>
      </tp>
      <tp t="s">
        <v>#N/A N/A</v>
        <stp/>
        <stp>BDH|12841204073123060425</stp>
        <tr r="D39" s="2"/>
      </tp>
      <tp t="s">
        <v>#N/A N/A</v>
        <stp/>
        <stp>BDH|12260689954181285043</stp>
        <tr r="H37" s="2"/>
      </tp>
      <tp t="s">
        <v>#N/A N/A</v>
        <stp/>
        <stp>BDH|10669141673262809421</stp>
        <tr r="F21" s="2"/>
      </tp>
      <tp t="s">
        <v>#N/A N/A</v>
        <stp/>
        <stp>BDH|11135762583956633883</stp>
        <tr r="D92" s="2"/>
      </tp>
      <tp t="s">
        <v>#N/A N/A</v>
        <stp/>
        <stp>BDH|17134336318854448137</stp>
        <tr r="C86" s="2"/>
      </tp>
      <tp t="s">
        <v>#N/A N/A</v>
        <stp/>
        <stp>BDH|16649059969475626529</stp>
        <tr r="I70" s="2"/>
      </tp>
      <tp t="s">
        <v>#N/A N/A</v>
        <stp/>
        <stp>BDH|12109146121363304294</stp>
        <tr r="G71" s="2"/>
      </tp>
    </main>
    <main first="bofaddin.rtdserver">
      <tp t="s">
        <v>#N/A N/A</v>
        <stp/>
        <stp>BDH|17724397380728745581</stp>
        <tr r="E93" s="2"/>
      </tp>
      <tp t="s">
        <v>#N/A N/A</v>
        <stp/>
        <stp>BDH|12339672345233595246</stp>
        <tr r="E38" s="2"/>
        <tr r="E97" s="2"/>
      </tp>
      <tp t="s">
        <v>#N/A N/A</v>
        <stp/>
        <stp>BDH|14191230108593875413</stp>
        <tr r="D44" s="2"/>
      </tp>
      <tp t="s">
        <v>#N/A N/A</v>
        <stp/>
        <stp>BDH|16473330640965693528</stp>
        <tr r="C34" s="2"/>
        <tr r="C56" s="2"/>
      </tp>
      <tp t="s">
        <v>#N/A N/A</v>
        <stp/>
        <stp>BDH|12255375020035441726</stp>
        <tr r="D50" s="2"/>
      </tp>
      <tp t="s">
        <v>#N/A N/A</v>
        <stp/>
        <stp>BDH|16991608680548373189</stp>
        <tr r="I65" s="2"/>
      </tp>
    </main>
    <main first="bofaddin.rtdserver">
      <tp t="s">
        <v>#N/A N/A</v>
        <stp/>
        <stp>BDH|10137541370532033173</stp>
        <tr r="C81" s="2"/>
      </tp>
      <tp t="s">
        <v>#N/A N/A</v>
        <stp/>
        <stp>BDH|11318373061865324033</stp>
        <tr r="H85" s="2"/>
      </tp>
      <tp t="s">
        <v>#N/A N/A</v>
        <stp/>
        <stp>BDH|18147117256158309508</stp>
        <tr r="C45" s="2"/>
      </tp>
    </main>
    <main first="bofaddin.rtdserver">
      <tp t="s">
        <v>#N/A N/A</v>
        <stp/>
        <stp>BDH|13461225432215906699</stp>
        <tr r="I58" s="2"/>
      </tp>
      <tp t="s">
        <v>#N/A N/A</v>
        <stp/>
        <stp>BDH|13516123635316458628</stp>
        <tr r="H87" s="2"/>
      </tp>
      <tp t="s">
        <v>#N/A N/A</v>
        <stp/>
        <stp>BDH|14432966454310501975</stp>
        <tr r="D73" s="2"/>
      </tp>
    </main>
    <main first="bofaddin.rtdserver">
      <tp t="s">
        <v>#N/A N/A</v>
        <stp/>
        <stp>BDH|16758093647917793490</stp>
        <tr r="E43" s="2"/>
      </tp>
    </main>
    <main first="bofaddin.rtdserver">
      <tp t="s">
        <v>#N/A N/A</v>
        <stp/>
        <stp>BDH|15090554998539373165</stp>
        <tr r="C58" s="2"/>
      </tp>
      <tp t="s">
        <v>#N/A N/A</v>
        <stp/>
        <stp>BDH|15763294925557215315</stp>
        <tr r="H91" s="2"/>
      </tp>
      <tp t="s">
        <v>#N/A N/A</v>
        <stp/>
        <stp>BDH|11404131194498165099</stp>
        <tr r="F78" s="2"/>
      </tp>
      <tp t="s">
        <v>#N/A N/A</v>
        <stp/>
        <stp>BDH|12140290692190150808</stp>
        <tr r="F11" s="2"/>
        <tr r="F88" s="2"/>
      </tp>
      <tp t="s">
        <v>#N/A N/A</v>
        <stp/>
        <stp>BDH|12391585262137488764</stp>
        <tr r="F87" s="2"/>
      </tp>
      <tp t="s">
        <v>#N/A N/A</v>
        <stp/>
        <stp>BDH|15185672329264783420</stp>
        <tr r="I81" s="2"/>
      </tp>
      <tp t="s">
        <v>#N/A N/A</v>
        <stp/>
        <stp>BDH|11691743189786078963</stp>
        <tr r="I26" s="2"/>
      </tp>
      <tp t="s">
        <v>#N/A N/A</v>
        <stp/>
        <stp>BDH|14888613572426184266</stp>
        <tr r="G37" s="2"/>
      </tp>
      <tp t="s">
        <v>#N/A N/A</v>
        <stp/>
        <stp>BDH|13903378921744499770</stp>
        <tr r="I60" s="2"/>
      </tp>
      <tp t="s">
        <v>#N/A N/A</v>
        <stp/>
        <stp>BDH|16429399184445345943</stp>
        <tr r="C60" s="2"/>
      </tp>
      <tp t="s">
        <v>#N/A N/A</v>
        <stp/>
        <stp>BDH|15082635908377514509</stp>
        <tr r="E86" s="2"/>
      </tp>
    </main>
    <main first="bofaddin.rtdserver">
      <tp t="s">
        <v>#N/A N/A</v>
        <stp/>
        <stp>BDH|16120888369359575751</stp>
        <tr r="E76" s="2"/>
      </tp>
      <tp t="s">
        <v>#N/A N/A</v>
        <stp/>
        <stp>BDH|17078510102735607154</stp>
        <tr r="G100" s="2"/>
      </tp>
      <tp t="s">
        <v>#N/A N/A</v>
        <stp/>
        <stp>BDH|10710263566872309063</stp>
        <tr r="F100" s="2"/>
      </tp>
      <tp t="s">
        <v>#N/A N/A</v>
        <stp/>
        <stp>BDH|11259192149145112713</stp>
        <tr r="F64" s="2"/>
      </tp>
      <tp t="s">
        <v>#N/A N/A</v>
        <stp/>
        <stp>BDH|17294004580031491832</stp>
        <tr r="H71" s="2"/>
      </tp>
      <tp t="s">
        <v>#N/A N/A</v>
        <stp/>
        <stp>BDH|13654801124089092664</stp>
        <tr r="E68" s="2"/>
      </tp>
      <tp t="s">
        <v>#N/A N/A</v>
        <stp/>
        <stp>BDH|15542667535874617271</stp>
        <tr r="E33" s="2"/>
        <tr r="E46" s="2"/>
      </tp>
      <tp t="s">
        <v>#N/A N/A</v>
        <stp/>
        <stp>BDH|16509877495592902384</stp>
        <tr r="C37" s="2"/>
      </tp>
      <tp t="s">
        <v>#N/A N/A</v>
        <stp/>
        <stp>BDH|14898635652822619391</stp>
        <tr r="C53" s="2"/>
      </tp>
      <tp t="s">
        <v>#N/A N/A</v>
        <stp/>
        <stp>BDH|13157612774831804557</stp>
        <tr r="F69" s="2"/>
      </tp>
      <tp t="s">
        <v>#N/A N/A</v>
        <stp/>
        <stp>BDH|16934078326886478454</stp>
        <tr r="C93" s="2"/>
      </tp>
      <tp t="s">
        <v>#N/A N/A</v>
        <stp/>
        <stp>BDH|13586939587594921039</stp>
        <tr r="D66" s="2"/>
      </tp>
      <tp t="s">
        <v>#N/A N/A</v>
        <stp/>
        <stp>BDH|11371450779192508614</stp>
        <tr r="G94" s="2"/>
      </tp>
      <tp t="s">
        <v>#N/A N/A</v>
        <stp/>
        <stp>BDH|11885050102050055756</stp>
        <tr r="F77" s="2"/>
      </tp>
      <tp t="s">
        <v>#N/A N/A</v>
        <stp/>
        <stp>BDH|13353741598819508247</stp>
        <tr r="C30" s="2"/>
      </tp>
      <tp t="s">
        <v>#N/A N/A</v>
        <stp/>
        <stp>BDH|13344078549152413373</stp>
        <tr r="I63" s="2"/>
      </tp>
      <tp t="s">
        <v>#N/A N/A</v>
        <stp/>
        <stp>BDH|11316633639795554722</stp>
        <tr r="D90" s="2"/>
      </tp>
      <tp t="s">
        <v>#N/A N/A</v>
        <stp/>
        <stp>BDH|10278309241452923349</stp>
        <tr r="F81" s="2"/>
      </tp>
      <tp t="s">
        <v>#N/A N/A</v>
        <stp/>
        <stp>BDH|17183682169876645782</stp>
        <tr r="H9" s="2"/>
      </tp>
    </main>
    <main first="bofaddin.rtdserver">
      <tp t="s">
        <v>#N/A N/A</v>
        <stp/>
        <stp>BDH|13427667484562194877</stp>
        <tr r="C9" s="2"/>
      </tp>
      <tp t="s">
        <v>#N/A N/A</v>
        <stp/>
        <stp>BDH|10368164066461737149</stp>
        <tr r="I73" s="2"/>
      </tp>
      <tp t="s">
        <v>#N/A N/A</v>
        <stp/>
        <stp>BDH|16224139102896157626</stp>
        <tr r="C63" s="2"/>
      </tp>
      <tp t="s">
        <v>#N/A N/A</v>
        <stp/>
        <stp>BDH|16062839674148685612</stp>
        <tr r="F90" s="2"/>
      </tp>
      <tp t="s">
        <v>#N/A N/A</v>
        <stp/>
        <stp>BDH|18295032946673393877</stp>
        <tr r="D12" s="2"/>
      </tp>
      <tp t="s">
        <v>#N/A N/A</v>
        <stp/>
        <stp>BDH|16798669906095472218</stp>
        <tr r="I78" s="2"/>
      </tp>
      <tp t="s">
        <v>#N/A N/A</v>
        <stp/>
        <stp>BDH|12345627608437838455</stp>
        <tr r="D25" s="2"/>
      </tp>
      <tp t="s">
        <v>#N/A N/A</v>
        <stp/>
        <stp>BDH|13478399628711375410</stp>
        <tr r="G76" s="2"/>
      </tp>
      <tp t="s">
        <v>#N/A N/A</v>
        <stp/>
        <stp>BDH|11602022679231802031</stp>
        <tr r="E91" s="2"/>
      </tp>
      <tp t="s">
        <v>#N/A N/A</v>
        <stp/>
        <stp>BDH|14302064956580254674</stp>
        <tr r="F58" s="2"/>
      </tp>
    </main>
    <main first="bofaddin.rtdserver">
      <tp t="s">
        <v>#N/A N/A</v>
        <stp/>
        <stp>BDH|17717625899386622929</stp>
        <tr r="I48" s="2"/>
      </tp>
      <tp t="s">
        <v>#N/A N/A</v>
        <stp/>
        <stp>BDH|15673196650047775131</stp>
        <tr r="G39" s="2"/>
      </tp>
      <tp t="s">
        <v>#N/A N/A</v>
        <stp/>
        <stp>BDH|16098688941851730242</stp>
        <tr r="H10" s="2"/>
      </tp>
      <tp t="s">
        <v>#N/A N/A</v>
        <stp/>
        <stp>BDH|14288206368767228028</stp>
        <tr r="E70" s="2"/>
      </tp>
      <tp t="s">
        <v>#N/A N/A</v>
        <stp/>
        <stp>BDH|11003577353782643482</stp>
        <tr r="G89" s="2"/>
      </tp>
      <tp t="s">
        <v>#N/A N/A</v>
        <stp/>
        <stp>BDH|15117053192653989859</stp>
        <tr r="C25" s="2"/>
      </tp>
      <tp t="s">
        <v>#N/A N/A</v>
        <stp/>
        <stp>BDH|12514867444541949830</stp>
        <tr r="D18" s="2"/>
      </tp>
      <tp t="s">
        <v>#N/A N/A</v>
        <stp/>
        <stp>BDH|12668665539385736523</stp>
        <tr r="C69" s="2"/>
      </tp>
    </main>
    <main first="bofaddin.rtdserver">
      <tp t="s">
        <v>#N/A N/A</v>
        <stp/>
        <stp>BDH|13408003861221721033</stp>
        <tr r="I43" s="2"/>
      </tp>
      <tp t="s">
        <v>#N/A N/A</v>
        <stp/>
        <stp>BDH|17441239295428361018</stp>
        <tr r="E10" s="2"/>
      </tp>
      <tp t="s">
        <v>#N/A N/A</v>
        <stp/>
        <stp>BDH|12707276274484625714</stp>
        <tr r="F26" s="2"/>
      </tp>
      <tp t="s">
        <v>#N/A N/A</v>
        <stp/>
        <stp>BDH|11176030452355292501</stp>
        <tr r="F7" s="2"/>
      </tp>
      <tp t="s">
        <v>#N/A N/A</v>
        <stp/>
        <stp>BDH|12615674823411963390</stp>
        <tr r="D86" s="2"/>
      </tp>
      <tp t="s">
        <v>#N/A N/A</v>
        <stp/>
        <stp>BDH|15263629632872242658</stp>
        <tr r="H67" s="2"/>
      </tp>
      <tp t="s">
        <v>#N/A N/A</v>
        <stp/>
        <stp>BDH|17797057813657315562</stp>
        <tr r="E67" s="2"/>
      </tp>
      <tp t="s">
        <v>#N/A N/A</v>
        <stp/>
        <stp>BDH|11073242190487783955</stp>
        <tr r="H24" s="2"/>
        <tr r="H42" s="2"/>
      </tp>
    </main>
    <main first="bofaddin.rtdserver">
      <tp t="s">
        <v>#N/A N/A</v>
        <stp/>
        <stp>BDH|13357984161780782845</stp>
        <tr r="E21" s="2"/>
      </tp>
    </main>
    <main first="bofaddin.rtdserver">
      <tp t="s">
        <v>#N/A N/A</v>
        <stp/>
        <stp>BDH|16483182331172287244</stp>
        <tr r="H82" s="2"/>
      </tp>
      <tp t="s">
        <v>#N/A N/A</v>
        <stp/>
        <stp>BDH|15615332433384501586</stp>
        <tr r="F60" s="2"/>
      </tp>
      <tp t="s">
        <v>#N/A N/A</v>
        <stp/>
        <stp>BDH|13723545458884931385</stp>
        <tr r="E18" s="2"/>
      </tp>
      <tp t="s">
        <v>#N/A N/A</v>
        <stp/>
        <stp>BDH|10974144971170950288</stp>
        <tr r="C11" s="2"/>
        <tr r="C88" s="2"/>
      </tp>
      <tp t="s">
        <v>#N/A N/A</v>
        <stp/>
        <stp>BDH|12426535944166746189</stp>
        <tr r="G8" s="2"/>
      </tp>
      <tp t="s">
        <v>#N/A N/A</v>
        <stp/>
        <stp>BDH|17715992098854995737</stp>
        <tr r="H8" s="2"/>
      </tp>
    </main>
    <main first="bofaddin.rtdserver">
      <tp t="s">
        <v>#N/A N/A</v>
        <stp/>
        <stp>BDH|17494328531372672002</stp>
        <tr r="G81" s="2"/>
      </tp>
      <tp t="s">
        <v>#N/A N/A</v>
        <stp/>
        <stp>BDH|12837406184649542282</stp>
        <tr r="G57" s="2"/>
      </tp>
      <tp t="s">
        <v>#N/A N/A</v>
        <stp/>
        <stp>BDH|18285846762390529339</stp>
        <tr r="C99" s="2"/>
      </tp>
      <tp t="s">
        <v>#N/A N/A</v>
        <stp/>
        <stp>BDH|15816599837713218505</stp>
        <tr r="F47" s="2"/>
      </tp>
      <tp t="s">
        <v>#N/A N/A</v>
        <stp/>
        <stp>BDH|13206875357269538230</stp>
        <tr r="C48" s="2"/>
      </tp>
      <tp t="s">
        <v>#N/A N/A</v>
        <stp/>
        <stp>BDH|14698219804921626220</stp>
        <tr r="E51" s="2"/>
      </tp>
      <tp t="s">
        <v>#N/A N/A</v>
        <stp/>
        <stp>BDH|11161097707691048588</stp>
        <tr r="I50" s="2"/>
      </tp>
      <tp t="s">
        <v>#N/A N/A</v>
        <stp/>
        <stp>BDH|14084222720481099052</stp>
        <tr r="E37" s="2"/>
      </tp>
      <tp t="s">
        <v>#N/A N/A</v>
        <stp/>
        <stp>BDH|16614647171554211677</stp>
        <tr r="F62" s="2"/>
      </tp>
      <tp t="s">
        <v>#N/A N/A</v>
        <stp/>
        <stp>BDH|15350155953876477282</stp>
        <tr r="H57" s="2"/>
      </tp>
      <tp t="s">
        <v>#N/A N/A</v>
        <stp/>
        <stp>BDH|12451111261163956341</stp>
        <tr r="I85" s="2"/>
      </tp>
      <tp t="s">
        <v>#N/A N/A</v>
        <stp/>
        <stp>BDH|10601275029845874089</stp>
        <tr r="H14" s="2"/>
      </tp>
      <tp t="s">
        <v>#N/A N/A</v>
        <stp/>
        <stp>BDH|12105713609268243800</stp>
        <tr r="I91" s="2"/>
      </tp>
      <tp t="s">
        <v>#N/A N/A</v>
        <stp/>
        <stp>BDH|15942311836254330405</stp>
        <tr r="D58" s="2"/>
      </tp>
      <tp t="s">
        <v>#N/A N/A</v>
        <stp/>
        <stp>BDH|10439526868804167238</stp>
        <tr r="I59" s="2"/>
      </tp>
      <tp t="s">
        <v>#N/A N/A</v>
        <stp/>
        <stp>BDH|17775186678235939113</stp>
        <tr r="D81" s="2"/>
      </tp>
      <tp t="s">
        <v>#N/A N/A</v>
        <stp/>
        <stp>BDH|15675059751822478792</stp>
        <tr r="F24" s="2"/>
        <tr r="F42" s="2"/>
      </tp>
    </main>
    <main first="bofaddin.rtdserver">
      <tp t="s">
        <v>#N/A N/A</v>
        <stp/>
        <stp>BDH|5447089525782499973</stp>
        <tr r="H73" s="2"/>
      </tp>
    </main>
    <main first="bofaddin.rtdserver">
      <tp t="s">
        <v>#N/A N/A</v>
        <stp/>
        <stp>BDH|9937209345582106145</stp>
        <tr r="I57" s="2"/>
      </tp>
      <tp t="s">
        <v>#N/A N/A</v>
        <stp/>
        <stp>BDH|7512982421900305028</stp>
        <tr r="I82" s="2"/>
      </tp>
      <tp t="s">
        <v>#N/A N/A</v>
        <stp/>
        <stp>BDH|5230018379607367947</stp>
        <tr r="H64" s="2"/>
      </tp>
      <tp t="s">
        <v>#N/A N/A</v>
        <stp/>
        <stp>BDH|7481651083716676396</stp>
        <tr r="I64" s="2"/>
      </tp>
    </main>
    <main first="bofaddin.rtdserver">
      <tp t="s">
        <v>#N/A N/A</v>
        <stp/>
        <stp>BDH|2781202396601499461</stp>
        <tr r="H12" s="2"/>
      </tp>
    </main>
    <main first="bofaddin.rtdserver">
      <tp t="s">
        <v>#N/A N/A</v>
        <stp/>
        <stp>BDH|2458752065728015742</stp>
        <tr r="H79" s="2"/>
      </tp>
      <tp t="s">
        <v>#N/A N/A</v>
        <stp/>
        <stp>BDH|4882724689621226657</stp>
        <tr r="D14" s="2"/>
      </tp>
    </main>
    <main first="bofaddin.rtdserver">
      <tp t="s">
        <v>#N/A N/A</v>
        <stp/>
        <stp>BDH|91063551973321791</stp>
        <tr r="C89" s="2"/>
      </tp>
    </main>
    <main first="bofaddin.rtdserver">
      <tp t="s">
        <v>#N/A N/A</v>
        <stp/>
        <stp>BDH|8163082417152033660</stp>
        <tr r="G48" s="2"/>
      </tp>
      <tp t="s">
        <v>#N/A N/A</v>
        <stp/>
        <stp>BDH|5076045772976735991</stp>
        <tr r="D98" s="2"/>
      </tp>
      <tp t="s">
        <v>#N/A N/A</v>
        <stp/>
        <stp>BDH|5291114690366558698</stp>
        <tr r="F92" s="2"/>
      </tp>
      <tp t="s">
        <v>#N/A N/A</v>
        <stp/>
        <stp>BDH|8070747026870594083</stp>
        <tr r="I14" s="2"/>
      </tp>
      <tp t="s">
        <v>#N/A N/A</v>
        <stp/>
        <stp>BDH|5948642192976270127</stp>
        <tr r="F48" s="2"/>
      </tp>
      <tp t="s">
        <v>#N/A N/A</v>
        <stp/>
        <stp>BDH|1929765577388009457</stp>
        <tr r="F85" s="2"/>
      </tp>
      <tp t="s">
        <v>#N/A N/A</v>
        <stp/>
        <stp>BDH|4986968852733959690</stp>
        <tr r="F57" s="2"/>
      </tp>
    </main>
    <main first="bofaddin.rtdserver">
      <tp t="s">
        <v>#N/A N/A</v>
        <stp/>
        <stp>BDH|6210421728858284589</stp>
        <tr r="D37" s="2"/>
      </tp>
    </main>
    <main first="bofaddin.rtdserver">
      <tp t="s">
        <v>#N/A N/A</v>
        <stp/>
        <stp>BDH|5678324345369410647</stp>
        <tr r="D99" s="2"/>
      </tp>
      <tp t="s">
        <v>#N/A N/A</v>
        <stp/>
        <stp>BDH|4590050065307271864</stp>
        <tr r="H44" s="2"/>
      </tp>
    </main>
    <main first="bofaddin.rtdserver">
      <tp t="s">
        <v>#N/A N/A</v>
        <stp/>
        <stp>BDH|8646188957324214627</stp>
        <tr r="D53" s="2"/>
      </tp>
    </main>
    <main first="bofaddin.rtdserver">
      <tp t="s">
        <v>#N/A N/A</v>
        <stp/>
        <stp>BDH|7107130719618360161</stp>
        <tr r="E78" s="2"/>
      </tp>
      <tp t="s">
        <v>#N/A N/A</v>
        <stp/>
        <stp>BDH|9945035271798153842</stp>
        <tr r="E44" s="2"/>
      </tp>
    </main>
    <main first="bofaddin.rtdserver">
      <tp t="s">
        <v>#N/A N/A</v>
        <stp/>
        <stp>BDH|1827270319105824932</stp>
        <tr r="G21" s="2"/>
      </tp>
      <tp t="s">
        <v>#N/A N/A</v>
        <stp/>
        <stp>BDH|5451098021818139104</stp>
        <tr r="I8" s="2"/>
      </tp>
      <tp t="s">
        <v>#N/A N/A</v>
        <stp/>
        <stp>BDH|4325650460972681821</stp>
        <tr r="E84" s="2"/>
      </tp>
      <tp t="s">
        <v>#N/A N/A</v>
        <stp/>
        <stp>BDH|9606485414130093295</stp>
        <tr r="F53" s="2"/>
      </tp>
      <tp t="s">
        <v>#N/A N/A</v>
        <stp/>
        <stp>BDH|1768766124789289340</stp>
        <tr r="C12" s="2"/>
      </tp>
      <tp t="s">
        <v>#N/A N/A</v>
        <stp/>
        <stp>BDH|3828090471108563241</stp>
        <tr r="G86" s="2"/>
      </tp>
      <tp t="s">
        <v>#N/A N/A</v>
        <stp/>
        <stp>BDH|9962773749881457527</stp>
        <tr r="C33" s="2"/>
        <tr r="C46" s="2"/>
      </tp>
      <tp t="s">
        <v>#N/A N/A</v>
        <stp/>
        <stp>BDH|9579710578100894729</stp>
        <tr r="F34" s="2"/>
        <tr r="F56" s="2"/>
      </tp>
      <tp t="s">
        <v>#N/A N/A</v>
        <stp/>
        <stp>BDH|2481712630891015909</stp>
        <tr r="C92" s="2"/>
      </tp>
    </main>
    <main first="bofaddin.rtdserver">
      <tp t="s">
        <v>#N/A N/A</v>
        <stp/>
        <stp>BDH|1586514828130651908</stp>
        <tr r="I34" s="2"/>
        <tr r="I56" s="2"/>
      </tp>
    </main>
    <main first="bofaddin.rtdserver">
      <tp t="s">
        <v>#N/A N/A</v>
        <stp/>
        <stp>BDH|7665808459566257360</stp>
        <tr r="E63" s="2"/>
      </tp>
    </main>
    <main first="bofaddin.rtdserver">
      <tp t="s">
        <v>#N/A N/A</v>
        <stp/>
        <stp>BDH|8231202080885679893</stp>
        <tr r="G47" s="2"/>
      </tp>
      <tp t="s">
        <v>#N/A N/A</v>
        <stp/>
        <stp>BDH|6540101433643111859</stp>
        <tr r="E69" s="2"/>
      </tp>
      <tp t="s">
        <v>#N/A N/A</v>
        <stp/>
        <stp>BDH|7294009367186333869</stp>
        <tr r="E24" s="2"/>
        <tr r="E42" s="2"/>
      </tp>
      <tp t="s">
        <v>#N/A N/A</v>
        <stp/>
        <stp>BDH|3040054555568364125</stp>
        <tr r="I12" s="2"/>
      </tp>
      <tp t="s">
        <v>#N/A N/A</v>
        <stp/>
        <stp>BDH|4602901005243397148</stp>
        <tr r="I83" s="2"/>
      </tp>
    </main>
    <main first="bofaddin.rtdserver">
      <tp t="s">
        <v>#N/A N/A</v>
        <stp/>
        <stp>BDH|4148564792196889666</stp>
        <tr r="E27" s="2"/>
      </tp>
      <tp t="s">
        <v>#N/A N/A</v>
        <stp/>
        <stp>BDH|2156933601311342280</stp>
        <tr r="D59" s="2"/>
      </tp>
      <tp t="s">
        <v>#N/A N/A</v>
        <stp/>
        <stp>BDH|8312022657494640180</stp>
        <tr r="H33" s="2"/>
        <tr r="H46" s="2"/>
      </tp>
    </main>
    <main first="bofaddin.rtdserver">
      <tp t="s">
        <v>#N/A N/A</v>
        <stp/>
        <stp>BDH|6790893643215681729</stp>
        <tr r="H76" s="2"/>
      </tp>
    </main>
    <main first="bofaddin.rtdserver">
      <tp t="s">
        <v>#N/A N/A</v>
        <stp/>
        <stp>BDH|8639592100186340328</stp>
        <tr r="G11" s="2"/>
        <tr r="G88" s="2"/>
      </tp>
    </main>
    <main first="bofaddin.rtdserver">
      <tp t="s">
        <v>#N/A N/A</v>
        <stp/>
        <stp>BDH|8134734760224749590</stp>
        <tr r="I90" s="2"/>
      </tp>
      <tp t="s">
        <v>#N/A N/A</v>
        <stp/>
        <stp>BDH|7635376311755941855</stp>
        <tr r="I39" s="2"/>
      </tp>
      <tp t="s">
        <v>#N/A N/A</v>
        <stp/>
        <stp>BDH|7911629088910709182</stp>
        <tr r="I18" s="2"/>
      </tp>
      <tp t="s">
        <v>#N/A N/A</v>
        <stp/>
        <stp>BDH|1461179609140490823</stp>
        <tr r="I79" s="2"/>
      </tp>
      <tp t="s">
        <v>#N/A N/A</v>
        <stp/>
        <stp>BDH|8391007117407062675</stp>
        <tr r="G69" s="2"/>
      </tp>
      <tp t="s">
        <v>#N/A N/A</v>
        <stp/>
        <stp>BDH|2538760334368509624</stp>
        <tr r="F72" s="2"/>
      </tp>
      <tp t="s">
        <v>#N/A N/A</v>
        <stp/>
        <stp>BDH|2158316898305161585</stp>
        <tr r="H26" s="2"/>
      </tp>
      <tp t="s">
        <v>#N/A N/A</v>
        <stp/>
        <stp>BDH|6954986678494883474</stp>
        <tr r="D47" s="2"/>
      </tp>
      <tp t="s">
        <v>#N/A N/A</v>
        <stp/>
        <stp>BDH|5045905774155376634</stp>
        <tr r="C13" s="2"/>
      </tp>
      <tp t="s">
        <v>#N/A N/A</v>
        <stp/>
        <stp>BDH|2531020155258244748</stp>
        <tr r="H68" s="2"/>
      </tp>
    </main>
    <main first="bofaddin.rtdserver">
      <tp t="s">
        <v>#N/A N/A</v>
        <stp/>
        <stp>BDH|8571591883178410418</stp>
        <tr r="I30" s="2"/>
      </tp>
    </main>
    <main first="bofaddin.rtdserver">
      <tp t="s">
        <v>#N/A N/A</v>
        <stp/>
        <stp>BDH|4824658098263938158</stp>
        <tr r="I67" s="2"/>
      </tp>
      <tp t="s">
        <v>#N/A N/A</v>
        <stp/>
        <stp>BDH|6793190159262855961</stp>
        <tr r="D60" s="2"/>
      </tp>
      <tp t="s">
        <v>#N/A N/A</v>
        <stp/>
        <stp>BDH|6107781935538427362</stp>
        <tr r="G44" s="2"/>
      </tp>
      <tp t="s">
        <v>#N/A N/A</v>
        <stp/>
        <stp>BDH|3565049789685278776</stp>
        <tr r="F43" s="2"/>
      </tp>
    </main>
    <main first="bofaddin.rtdserver">
      <tp t="s">
        <v>#N/A N/A</v>
        <stp/>
        <stp>BDH|8000357666880816488</stp>
        <tr r="F18" s="2"/>
      </tp>
      <tp t="s">
        <v>#N/A N/A</v>
        <stp/>
        <stp>BDH|2168435642969041238</stp>
        <tr r="D89" s="2"/>
      </tp>
    </main>
    <main first="bofaddin.rtdserver">
      <tp t="s">
        <v>#N/A N/A</v>
        <stp/>
        <stp>BDH|2297107490102395114</stp>
        <tr r="H47" s="2"/>
      </tp>
    </main>
    <main first="bofaddin.rtdserver">
      <tp t="s">
        <v>#N/A N/A</v>
        <stp/>
        <stp>BDH|8079819730332756874</stp>
        <tr r="I11" s="2"/>
        <tr r="I88" s="2"/>
      </tp>
    </main>
    <main first="bofaddin.rtdserver">
      <tp t="s">
        <v>#N/A N/A</v>
        <stp/>
        <stp>BDH|7072616494824139534</stp>
        <tr r="G18" s="2"/>
      </tp>
    </main>
    <main first="bofaddin.rtdserver">
      <tp t="s">
        <v>#N/A N/A</v>
        <stp/>
        <stp>BDH|1265355762125982885</stp>
        <tr r="I10" s="2"/>
      </tp>
    </main>
    <main first="bofaddin.rtdserver">
      <tp t="s">
        <v>#N/A N/A</v>
        <stp/>
        <stp>BDH|3352223481472366195</stp>
        <tr r="C59" s="2"/>
      </tp>
      <tp t="s">
        <v>#N/A N/A</v>
        <stp/>
        <stp>BDH|4708807204642079493</stp>
        <tr r="H59" s="2"/>
      </tp>
      <tp t="s">
        <v>#N/A N/A</v>
        <stp/>
        <stp>BDH|7626597142619130564</stp>
        <tr r="G99" s="2"/>
      </tp>
    </main>
    <main first="bofaddin.rtdserver">
      <tp t="s">
        <v>#N/A N/A</v>
        <stp/>
        <stp>BDH|3785565408034135812</stp>
        <tr r="H70" s="2"/>
      </tp>
      <tp t="s">
        <v>#N/A N/A</v>
        <stp/>
        <stp>BDH|5783794075997782825</stp>
        <tr r="H30" s="2"/>
      </tp>
      <tp t="s">
        <v>#N/A N/A</v>
        <stp/>
        <stp>BDH|9269086505285134611</stp>
        <tr r="G10" s="2"/>
      </tp>
      <tp t="s">
        <v>#N/A N/A</v>
        <stp/>
        <stp>BDH|9931244511918564864</stp>
        <tr r="H49" s="2"/>
      </tp>
      <tp t="s">
        <v>#N/A N/A</v>
        <stp/>
        <stp>BDH|3392031805909458006</stp>
        <tr r="I24" s="2"/>
        <tr r="I42" s="2"/>
      </tp>
      <tp t="s">
        <v>#N/A N/A</v>
        <stp/>
        <stp>BDH|9593122790782638901</stp>
        <tr r="G64" s="2"/>
      </tp>
    </main>
    <main first="bofaddin.rtdserver">
      <tp t="s">
        <v>#N/A N/A</v>
        <stp/>
        <stp>BDH|1009382982084933458</stp>
        <tr r="F33" s="2"/>
        <tr r="F46" s="2"/>
      </tp>
      <tp t="s">
        <v>#N/A N/A</v>
        <stp/>
        <stp>BDH|6217809651889526816</stp>
        <tr r="G14" s="2"/>
      </tp>
    </main>
    <main first="bofaddin.rtdserver">
      <tp t="s">
        <v>#N/A N/A</v>
        <stp/>
        <stp>BDH|6140538825753282813</stp>
        <tr r="G7" s="2"/>
      </tp>
    </main>
    <main first="bofaddin.rtdserver">
      <tp t="s">
        <v>#N/A N/A</v>
        <stp/>
        <stp>BDH|4221322897253954656</stp>
        <tr r="I47" s="2"/>
      </tp>
      <tp t="s">
        <v>#N/A N/A</v>
        <stp/>
        <stp>BDH|3117492730079732644</stp>
        <tr r="F70" s="2"/>
      </tp>
      <tp t="s">
        <v>#N/A N/A</v>
        <stp/>
        <stp>BDH|3272432553230987905</stp>
        <tr r="F98" s="2"/>
      </tp>
    </main>
    <main first="bofaddin.rtdserver">
      <tp t="s">
        <v>#N/A N/A</v>
        <stp/>
        <stp>BDH|8509973020300578894</stp>
        <tr r="F80" s="2"/>
      </tp>
    </main>
    <main first="bofaddin.rtdserver">
      <tp t="s">
        <v>#N/A N/A</v>
        <stp/>
        <stp>BDH|4571903661526638628</stp>
        <tr r="D76" s="2"/>
      </tp>
      <tp t="s">
        <v>#N/A N/A</v>
        <stp/>
        <stp>BDH|1607848407490700249</stp>
        <tr r="I87" s="2"/>
      </tp>
      <tp t="s">
        <v>#N/A N/A</v>
        <stp/>
        <stp>BDH|8493151734947311625</stp>
        <tr r="C98" s="2"/>
      </tp>
      <tp t="s">
        <v>#N/A N/A</v>
        <stp/>
        <stp>BDH|4323953939304391183</stp>
        <tr r="F12" s="2"/>
      </tp>
      <tp t="s">
        <v>#N/A N/A</v>
        <stp/>
        <stp>BDH|1021054284412465019</stp>
        <tr r="G67" s="2"/>
      </tp>
    </main>
    <main first="bofaddin.rtdserver">
      <tp t="s">
        <v>#N/A N/A</v>
        <stp/>
        <stp>BDH|7493184350473448462</stp>
        <tr r="C83" s="2"/>
      </tp>
      <tp t="s">
        <v>#N/A N/A</v>
        <stp/>
        <stp>BDH|7966620609565907045</stp>
        <tr r="H94" s="2"/>
      </tp>
      <tp t="s">
        <v>#N/A N/A</v>
        <stp/>
        <stp>BDH|2894975392831341732</stp>
        <tr r="D80" s="2"/>
      </tp>
      <tp t="s">
        <v>#N/A N/A</v>
        <stp/>
        <stp>BDH|1939149824657938126</stp>
        <tr r="I27" s="2"/>
      </tp>
      <tp t="s">
        <v>#N/A N/A</v>
        <stp/>
        <stp>BDH|4736428522257786105</stp>
        <tr r="H93" s="2"/>
      </tp>
      <tp t="s">
        <v>#N/A N/A</v>
        <stp/>
        <stp>BDH|4476562611672023636</stp>
        <tr r="G60" s="2"/>
      </tp>
      <tp t="s">
        <v>#N/A N/A</v>
        <stp/>
        <stp>BDH|8131594885086512789</stp>
        <tr r="I93" s="2"/>
      </tp>
      <tp t="s">
        <v>#N/A N/A</v>
        <stp/>
        <stp>BDH|2892018970967895604</stp>
        <tr r="C27" s="2"/>
      </tp>
      <tp t="s">
        <v>#N/A N/A</v>
        <stp/>
        <stp>BDH|5368531491818952591</stp>
        <tr r="F67" s="2"/>
      </tp>
      <tp t="s">
        <v>#N/A N/A</v>
        <stp/>
        <stp>BDH|8305302801537362879</stp>
        <tr r="C65" s="2"/>
      </tp>
      <tp t="s">
        <v>#N/A N/A</v>
        <stp/>
        <stp>BDH|1013550341912739650</stp>
        <tr r="H18" s="2"/>
      </tp>
    </main>
    <main first="bofaddin.rtdserver">
      <tp t="s">
        <v>#N/A N/A</v>
        <stp/>
        <stp>BDH|8178915640683270252</stp>
        <tr r="E62" s="2"/>
      </tp>
      <tp t="s">
        <v>#N/A N/A</v>
        <stp/>
        <stp>BDH|1134543454385336058</stp>
        <tr r="D9" s="2"/>
      </tp>
      <tp t="s">
        <v>#N/A N/A</v>
        <stp/>
        <stp>BDH|1775136217112691719</stp>
        <tr r="H7" s="2"/>
      </tp>
    </main>
    <main first="bofaddin.rtdserver">
      <tp t="s">
        <v>#N/A N/A</v>
        <stp/>
        <stp>BDH|7978590055781472241</stp>
        <tr r="C77" s="2"/>
      </tp>
    </main>
    <main first="bofaddin.rtdserver">
      <tp t="s">
        <v>#N/A N/A</v>
        <stp/>
        <stp>BDH|4530418186945860817</stp>
        <tr r="G59" s="2"/>
      </tp>
      <tp t="s">
        <v>#N/A N/A</v>
        <stp/>
        <stp>BDH|4577608360870962158</stp>
        <tr r="F38" s="2"/>
        <tr r="F97" s="2"/>
      </tp>
      <tp t="s">
        <v>#N/A N/A</v>
        <stp/>
        <stp>BDH|4406385471432161725</stp>
        <tr r="C47" s="2"/>
      </tp>
      <tp t="s">
        <v>#N/A N/A</v>
        <stp/>
        <stp>BDH|9396889544147114704</stp>
        <tr r="C76" s="2"/>
      </tp>
      <tp t="s">
        <v>#N/A N/A</v>
        <stp/>
        <stp>BDH|8787775921950852868</stp>
        <tr r="E94" s="2"/>
      </tp>
      <tp t="s">
        <v>#N/A N/A</v>
        <stp/>
        <stp>BDH|2499683319607197786</stp>
        <tr r="I49" s="2"/>
      </tp>
      <tp t="s">
        <v>#N/A N/A</v>
        <stp/>
        <stp>BDH|5302777300793885405</stp>
        <tr r="E11" s="2"/>
        <tr r="E88" s="2"/>
      </tp>
      <tp t="s">
        <v>#N/A N/A</v>
        <stp/>
        <stp>BDH|2008092050225186753</stp>
        <tr r="H100" s="2"/>
      </tp>
    </main>
    <main first="bofaddin.rtdserver">
      <tp t="s">
        <v>#N/A N/A</v>
        <stp/>
        <stp>BDH|2307043323057323252</stp>
        <tr r="C24" s="2"/>
        <tr r="C42" s="2"/>
      </tp>
    </main>
    <main first="bofaddin.rtdserver">
      <tp t="s">
        <v>#N/A N/A</v>
        <stp/>
        <stp>BDH|7201132688582139989</stp>
        <tr r="D21" s="2"/>
      </tp>
      <tp t="s">
        <v>#N/A N/A</v>
        <stp/>
        <stp>BDH|8740971447890671017</stp>
        <tr r="F89" s="2"/>
      </tp>
      <tp t="s">
        <v>#N/A N/A</v>
        <stp/>
        <stp>BDH|9238169896771715534</stp>
        <tr r="I13" s="2"/>
      </tp>
      <tp t="s">
        <v>#N/A N/A</v>
        <stp/>
        <stp>BDH|2305439252071387742</stp>
        <tr r="G61" s="2"/>
      </tp>
    </main>
    <main first="bofaddin.rtdserver">
      <tp t="s">
        <v>#N/A N/A</v>
        <stp/>
        <stp>BDH|9857348790120074529</stp>
        <tr r="G91" s="2"/>
      </tp>
    </main>
    <main first="bofaddin.rtdserver">
      <tp t="s">
        <v>#N/A N/A</v>
        <stp/>
        <stp>BDH|7521765111240634792</stp>
        <tr r="E25" s="2"/>
      </tp>
      <tp t="s">
        <v>#N/A N/A</v>
        <stp/>
        <stp>BDH|8403143452843342904</stp>
        <tr r="I77" s="2"/>
      </tp>
      <tp t="s">
        <v>#N/A N/A</v>
        <stp/>
        <stp>BDH|4709257913235015465</stp>
        <tr r="D57" s="2"/>
      </tp>
      <tp t="s">
        <v>#N/A N/A</v>
        <stp/>
        <stp>BDH|6142049565781372764</stp>
        <tr r="F45" s="2"/>
      </tp>
      <tp t="s">
        <v>#N/A N/A</v>
        <stp/>
        <stp>BDH|4429020562926560245</stp>
        <tr r="G78" s="2"/>
      </tp>
    </main>
    <main first="bofaddin.rtdserver">
      <tp t="s">
        <v>#N/A N/A</v>
        <stp/>
        <stp>BDH|3893434129943124190</stp>
        <tr r="H48" s="2"/>
      </tp>
    </main>
    <main first="bofaddin.rtdserver">
      <tp t="s">
        <v>#N/A N/A</v>
        <stp/>
        <stp>BDH|6074396045064373245</stp>
        <tr r="E99" s="2"/>
      </tp>
      <tp t="s">
        <v>#N/A N/A</v>
        <stp/>
        <stp>BDH|5079674400367967353</stp>
        <tr r="I61" s="2"/>
      </tp>
      <tp t="s">
        <v>#N/A N/A</v>
        <stp/>
        <stp>BDH|3835268467212597249</stp>
        <tr r="F66" s="2"/>
      </tp>
    </main>
    <main first="bofaddin.rtdserver">
      <tp t="s">
        <v>#N/A N/A</v>
        <stp/>
        <stp>BDH|2431794595872549935</stp>
        <tr r="G30" s="2"/>
      </tp>
      <tp t="s">
        <v>#N/A N/A</v>
        <stp/>
        <stp>BDH|3633042459432323377</stp>
        <tr r="D64" s="2"/>
      </tp>
      <tp t="s">
        <v>#N/A N/A</v>
        <stp/>
        <stp>BDH|7800021322517323546</stp>
        <tr r="E64" s="2"/>
      </tp>
      <tp t="s">
        <v>#N/A N/A</v>
        <stp/>
        <stp>BDH|5170491785998452661</stp>
        <tr r="E59" s="2"/>
      </tp>
      <tp t="s">
        <v>#N/A N/A</v>
        <stp/>
        <stp>BDH|5997028552084226377</stp>
        <tr r="F82" s="2"/>
      </tp>
      <tp t="s">
        <v>#N/A N/A</v>
        <stp/>
        <stp>BDH|4181694502944215153</stp>
        <tr r="D78" s="2"/>
      </tp>
      <tp t="s">
        <v>#N/A N/A</v>
        <stp/>
        <stp>BDH|6419563611771841493</stp>
        <tr r="C71" s="2"/>
      </tp>
      <tp t="s">
        <v>#N/A N/A</v>
        <stp/>
        <stp>BDH|9152952832221389573</stp>
        <tr r="H60" s="2"/>
      </tp>
      <tp t="s">
        <v>#N/A N/A</v>
        <stp/>
        <stp>BDH|6631550269385981725</stp>
        <tr r="H66" s="2"/>
      </tp>
      <tp t="s">
        <v>#N/A N/A</v>
        <stp/>
        <stp>BDH|7769660332790602528</stp>
        <tr r="E47" s="2"/>
      </tp>
      <tp t="s">
        <v>#N/A N/A</v>
        <stp/>
        <stp>BDH|4963351548654342030</stp>
        <tr r="G33" s="2"/>
        <tr r="G46" s="2"/>
      </tp>
      <tp t="s">
        <v>#N/A N/A</v>
        <stp/>
        <stp>BDH|2728851803899624436</stp>
        <tr r="E30" s="2"/>
      </tp>
      <tp t="s">
        <v>#N/A N/A</v>
        <stp/>
        <stp>BDH|2527460339304984669</stp>
        <tr r="H84" s="2"/>
      </tp>
    </main>
    <main first="bofaddin.rtdserver">
      <tp t="s">
        <v>#N/A N/A</v>
        <stp/>
        <stp>BDH|3117297217549562903</stp>
        <tr r="I66" s="2"/>
      </tp>
      <tp t="s">
        <v>#N/A N/A</v>
        <stp/>
        <stp>BDH|3756898225281336838</stp>
        <tr r="G79" s="2"/>
      </tp>
      <tp t="s">
        <v>#N/A N/A</v>
        <stp/>
        <stp>BDH|5842240096357068927</stp>
        <tr r="F49" s="2"/>
      </tp>
      <tp t="s">
        <v>#N/A N/A</v>
        <stp/>
        <stp>BDH|1966731833455683077</stp>
        <tr r="F39" s="2"/>
      </tp>
      <tp t="s">
        <v>#N/A N/A</v>
        <stp/>
        <stp>BDH|6326239436241900676</stp>
        <tr r="D68" s="2"/>
      </tp>
      <tp t="s">
        <v>#N/A N/A</v>
        <stp/>
        <stp>BDH|5121001159618507843</stp>
        <tr r="C7" s="2"/>
      </tp>
      <tp t="s">
        <v>#N/A N/A</v>
        <stp/>
        <stp>BDH|5676629885689724284</stp>
        <tr r="F65" s="2"/>
      </tp>
    </main>
    <main first="bofaddin.rtdserver">
      <tp t="s">
        <v>#N/A N/A</v>
        <stp/>
        <stp>BDH|7305606532125722795</stp>
        <tr r="C38" s="2"/>
        <tr r="C97" s="2"/>
      </tp>
      <tp t="s">
        <v>#N/A N/A</v>
        <stp/>
        <stp>BDH|4126717726020065198</stp>
        <tr r="D79" s="2"/>
      </tp>
      <tp t="s">
        <v>#N/A N/A</v>
        <stp/>
        <stp>BDH|9538582370228429351</stp>
        <tr r="G98" s="2"/>
      </tp>
      <tp t="s">
        <v>#N/A N/A</v>
        <stp/>
        <stp>BDH|4202981984736317311</stp>
        <tr r="E60" s="2"/>
      </tp>
    </main>
    <main first="bofaddin.rtdserver">
      <tp t="s">
        <v>#N/A N/A</v>
        <stp/>
        <stp>BDH|8872659092486417161</stp>
        <tr r="H69" s="2"/>
      </tp>
      <tp t="s">
        <v>#N/A N/A</v>
        <stp/>
        <stp>BDH|3799331290078151180</stp>
        <tr r="F94" s="2"/>
      </tp>
      <tp t="s">
        <v>#N/A N/A</v>
        <stp/>
        <stp>BDH|1901065749925102050</stp>
        <tr r="C79" s="2"/>
      </tp>
    </main>
    <main first="bofaddin.rtdserver">
      <tp t="s">
        <v>#N/A N/A</v>
        <stp/>
        <stp>BDH|5932292356682108072</stp>
        <tr r="I25" s="2"/>
      </tp>
      <tp t="s">
        <v>#N/A N/A</v>
        <stp/>
        <stp>BDH|8959111187510878179</stp>
        <tr r="C52" s="2"/>
      </tp>
    </main>
    <main first="bofaddin.rtdserver">
      <tp t="s">
        <v>#N/A N/A</v>
        <stp/>
        <stp>BDH|6898844302747739983</stp>
        <tr r="D93" s="2"/>
      </tp>
      <tp t="s">
        <v>#N/A N/A</v>
        <stp/>
        <stp>BDH|6233054212187487003</stp>
        <tr r="G70" s="2"/>
      </tp>
      <tp t="s">
        <v>#N/A N/A</v>
        <stp/>
        <stp>BDH|9658850245065556043</stp>
        <tr r="G72" s="2"/>
      </tp>
      <tp t="s">
        <v>#N/A N/A</v>
        <stp/>
        <stp>BDH|5087477239664083697</stp>
        <tr r="G24" s="2"/>
        <tr r="G42" s="2"/>
      </tp>
      <tp t="s">
        <v>#N/A N/A</v>
        <stp/>
        <stp>BDH|8117998139824386652</stp>
        <tr r="H27" s="2"/>
      </tp>
      <tp t="s">
        <v>#N/A N/A</v>
        <stp/>
        <stp>BDH|4130179226251516611</stp>
        <tr r="F8" s="2"/>
      </tp>
      <tp t="s">
        <v>#N/A N/A</v>
        <stp/>
        <stp>BDH|5226311117725748261</stp>
        <tr r="D91" s="2"/>
      </tp>
      <tp t="s">
        <v>#N/A N/A</v>
        <stp/>
        <stp>BDH|5858596095651459857</stp>
        <tr r="H50" s="2"/>
      </tp>
    </main>
    <main first="bofaddin.rtdserver">
      <tp t="s">
        <v>#N/A N/A</v>
        <stp/>
        <stp>BDH|6751052008960392737</stp>
        <tr r="G66" s="2"/>
      </tp>
      <tp t="s">
        <v>#N/A N/A</v>
        <stp/>
        <stp>BDH|6528382752696669729</stp>
        <tr r="E82" s="2"/>
      </tp>
      <tp t="s">
        <v>#N/A N/A</v>
        <stp/>
        <stp>BDH|3386110856680801645</stp>
        <tr r="I100" s="2"/>
      </tp>
      <tp t="s">
        <v>#N/A N/A</v>
        <stp/>
        <stp>BDH|9236521240358129180</stp>
        <tr r="C44" s="2"/>
      </tp>
      <tp t="s">
        <v>#N/A N/A</v>
        <stp/>
        <stp>BDH|5292436250376685394</stp>
        <tr r="I76" s="2"/>
      </tp>
      <tp t="s">
        <v>#N/A N/A</v>
        <stp/>
        <stp>BDH|5131174428030969780</stp>
        <tr r="H65" s="2"/>
      </tp>
      <tp t="s">
        <v>#N/A N/A</v>
        <stp/>
        <stp>BDH|9230801034442047190</stp>
        <tr r="C80" s="2"/>
      </tp>
      <tp t="s">
        <v>#N/A N/A</v>
        <stp/>
        <stp>BDH|8354862343275006093</stp>
        <tr r="E52" s="2"/>
      </tp>
      <tp t="s">
        <v>#N/A N/A</v>
        <stp/>
        <stp>BDH|1299063339044216701</stp>
        <tr r="D13" s="2"/>
      </tp>
      <tp t="s">
        <v>#N/A N/A</v>
        <stp/>
        <stp>BDH|1040887809658615052</stp>
        <tr r="D82" s="2"/>
      </tp>
      <tp t="s">
        <v>#N/A N/A</v>
        <stp/>
        <stp>BDH|5528097651627986676</stp>
        <tr r="C62" s="2"/>
      </tp>
      <tp t="s">
        <v>#N/A N/A</v>
        <stp/>
        <stp>BDH|7268892203956129884</stp>
        <tr r="H61" s="2"/>
      </tp>
      <tp t="s">
        <v>#N/A N/A</v>
        <stp/>
        <stp>BDH|4304540454645258008</stp>
        <tr r="E72" s="2"/>
      </tp>
      <tp t="s">
        <v>#N/A N/A</v>
        <stp/>
        <stp>BDH|4532602383248144368</stp>
        <tr r="I38" s="2"/>
        <tr r="I97" s="2"/>
      </tp>
    </main>
    <main first="bofaddin.rtdserver">
      <tp t="s">
        <v>#N/A N/A</v>
        <stp/>
        <stp>BDH|1868509022441974646</stp>
        <tr r="E45" s="2"/>
      </tp>
    </main>
    <main first="bofaddin.rtdserver">
      <tp t="s">
        <v>#N/A N/A</v>
        <stp/>
        <stp>BDH|4128265050316267417</stp>
        <tr r="G93" s="2"/>
      </tp>
    </main>
    <main first="bofaddin.rtdserver">
      <tp t="s">
        <v>#N/A N/A</v>
        <stp/>
        <stp>BDH|9768763695184568247</stp>
        <tr r="D83" s="2"/>
      </tp>
      <tp t="s">
        <v>#N/A N/A</v>
        <stp/>
        <stp>BDH|8016695589675165249</stp>
        <tr r="G38" s="2"/>
        <tr r="G97" s="2"/>
      </tp>
      <tp t="s">
        <v>#N/A N/A</v>
        <stp/>
        <stp>BDH|4687440868343917467</stp>
        <tr r="D77" s="2"/>
      </tp>
      <tp t="s">
        <v>#N/A N/A</v>
        <stp/>
        <stp>BDH|2778221079887854117</stp>
        <tr r="H53" s="2"/>
      </tp>
    </main>
    <main first="bofaddin.rtdserver">
      <tp t="s">
        <v>#N/A N/A</v>
        <stp/>
        <stp>BDH|86933067915942643</stp>
        <tr r="G90" s="2"/>
      </tp>
    </main>
    <main first="bofaddin.rtdserver">
      <tp t="s">
        <v>#N/A N/A</v>
        <stp/>
        <stp>BDH|2986932324812284978</stp>
        <tr r="F86" s="2"/>
      </tp>
      <tp t="s">
        <v>#N/A N/A</v>
        <stp/>
        <stp>BDH|3387163407908243894</stp>
        <tr r="D26" s="2"/>
      </tp>
      <tp t="s">
        <v>#N/A N/A</v>
        <stp/>
        <stp>BDH|2294480657543086249</stp>
        <tr r="G92" s="2"/>
      </tp>
    </main>
    <main first="bofaddin.rtdserver">
      <tp t="s">
        <v>#N/A N/A</v>
        <stp/>
        <stp>BDH|8144785000004572920</stp>
        <tr r="E100" s="2"/>
      </tp>
    </main>
    <main first="bofaddin.rtdserver">
      <tp t="s">
        <v>#N/A N/A</v>
        <stp/>
        <stp>BDH|5506084267456105776</stp>
        <tr r="H52" s="2"/>
      </tp>
      <tp t="s">
        <v>#N/A N/A</v>
        <stp/>
        <stp>BDH|5721133397326826993</stp>
        <tr r="C67" s="2"/>
      </tp>
      <tp t="s">
        <v>#N/A N/A</v>
        <stp/>
        <stp>BDH|8540979589339899213</stp>
        <tr r="D100" s="2"/>
      </tp>
      <tp t="s">
        <v>#N/A N/A</v>
        <stp/>
        <stp>BDH|9350166621660499839</stp>
        <tr r="G87" s="2"/>
      </tp>
      <tp t="s">
        <v>#N/A N/A</v>
        <stp/>
        <stp>BDH|3253349737592392314</stp>
        <tr r="E90" s="2"/>
      </tp>
      <tp t="s">
        <v>#N/A N/A</v>
        <stp/>
        <stp>BDH|6507544052861504569</stp>
        <tr r="E81" s="2"/>
      </tp>
      <tp t="s">
        <v>#N/A N/A</v>
        <stp/>
        <stp>BDH|7733315605187215113</stp>
        <tr r="E14" s="2"/>
      </tp>
      <tp t="s">
        <v>#N/A N/A</v>
        <stp/>
        <stp>BDH|6482223969486688687</stp>
        <tr r="G51" s="2"/>
      </tp>
      <tp t="s">
        <v>#N/A N/A</v>
        <stp/>
        <stp>BDH|4170796478295817397</stp>
        <tr r="G58" s="2"/>
      </tp>
      <tp t="s">
        <v>#N/A N/A</v>
        <stp/>
        <stp>BDH|2006549920523250417</stp>
        <tr r="D84" s="2"/>
      </tp>
      <tp t="s">
        <v>#N/A N/A</v>
        <stp/>
        <stp>BDH|1650107514817195477</stp>
        <tr r="C43" s="2"/>
      </tp>
      <tp t="s">
        <v>#N/A N/A</v>
        <stp/>
        <stp>BDH|5479136303993188505</stp>
        <tr r="G84" s="2"/>
      </tp>
      <tp t="s">
        <v>#N/A N/A</v>
        <stp/>
        <stp>BDH|1608190812175951618</stp>
        <tr r="H21" s="2"/>
      </tp>
    </main>
    <main first="bofaddin.rtdserver">
      <tp t="s">
        <v>#N/A N/A</v>
        <stp/>
        <stp>BDH|4653698360842154545</stp>
        <tr r="G12" s="2"/>
      </tp>
      <tp t="s">
        <v>#N/A N/A</v>
        <stp/>
        <stp>BDH|7050135346541956068</stp>
        <tr r="C70" s="2"/>
      </tp>
      <tp t="s">
        <v>#N/A N/A</v>
        <stp/>
        <stp>BDH|9224805878084858189</stp>
        <tr r="H63" s="2"/>
      </tp>
    </main>
    <main first="bofaddin.rtdserver">
      <tp t="s">
        <v>#N/A N/A</v>
        <stp/>
        <stp>BDH|3211606478854930589</stp>
        <tr r="G50" s="2"/>
      </tp>
    </main>
    <main first="bofaddin.rtdserver">
      <tp t="s">
        <v>#N/A N/A</v>
        <stp/>
        <stp>BDH|4690559183612022887</stp>
        <tr r="G68" s="2"/>
      </tp>
    </main>
    <main first="bofaddin.rtdserver">
      <tp t="s">
        <v>#N/A N/A</v>
        <stp/>
        <stp>BDH|8824531727065544904</stp>
        <tr r="E80" s="2"/>
      </tp>
      <tp t="s">
        <v>#N/A N/A</v>
        <stp/>
        <stp>BDH|2651758224031340580</stp>
        <tr r="D10" s="2"/>
      </tp>
      <tp t="s">
        <v>#N/A N/A</v>
        <stp/>
        <stp>BDH|2147990166327144939</stp>
        <tr r="D48" s="2"/>
      </tp>
      <tp t="s">
        <v>#N/A N/A</v>
        <stp/>
        <stp>BDH|4797486842285216220</stp>
        <tr r="E26" s="2"/>
      </tp>
      <tp t="s">
        <v>#N/A N/A</v>
        <stp/>
        <stp>BDH|3676398336699457900</stp>
        <tr r="C39" s="2"/>
      </tp>
      <tp t="s">
        <v>#N/A N/A</v>
        <stp/>
        <stp>BDH|6861502306411812150</stp>
        <tr r="E73" s="2"/>
      </tp>
      <tp t="s">
        <v>#N/A N/A</v>
        <stp/>
        <stp>BDH|6230491923492940119</stp>
        <tr r="D33" s="2"/>
        <tr r="D46" s="2"/>
      </tp>
      <tp t="s">
        <v>#N/A N/A</v>
        <stp/>
        <stp>BDH|3364298839401113026</stp>
        <tr r="H86" s="2"/>
      </tp>
      <tp t="s">
        <v>#N/A N/A</v>
        <stp/>
        <stp>BDH|1173550800423209476</stp>
        <tr r="H92" s="2"/>
      </tp>
      <tp t="s">
        <v>#N/A N/A</v>
        <stp/>
        <stp>BDH|2718527424023963597</stp>
        <tr r="E7" s="2"/>
      </tp>
      <tp t="s">
        <v>#N/A N/A</v>
        <stp/>
        <stp>BDH|6469712330405446470</stp>
        <tr r="H89" s="2"/>
      </tp>
      <tp t="s">
        <v>#N/A N/A</v>
        <stp/>
        <stp>BDH|7761465220041287355</stp>
        <tr r="D27" s="2"/>
      </tp>
      <tp t="s">
        <v>#N/A N/A</v>
        <stp/>
        <stp>BDH|8237284793238921850</stp>
        <tr r="G34" s="2"/>
        <tr r="G56" s="2"/>
      </tp>
    </main>
    <main first="bofaddin.rtdserver">
      <tp t="s">
        <v>#N/A N/A</v>
        <stp/>
        <stp>BDH|984202234383096721</stp>
        <tr r="D63" s="2"/>
      </tp>
      <tp t="s">
        <v>#N/A N/A</v>
        <stp/>
        <stp>BDH|988406841324404175</stp>
        <tr r="D24" s="2"/>
        <tr r="D42" s="2"/>
      </tp>
      <tp t="s">
        <v>#N/A N/A</v>
        <stp/>
        <stp>BDH|856710276146819361</stp>
        <tr r="H25" s="2"/>
      </tp>
    </main>
    <main first="bofaddin.rtdserver">
      <tp t="s">
        <v>#N/A N/A</v>
        <stp/>
        <stp>BDH|864752273617367005</stp>
        <tr r="G65" s="2"/>
      </tp>
      <tp t="s">
        <v>#N/A N/A</v>
        <stp/>
        <stp>BDH|961331334410587739</stp>
        <tr r="C26" s="2"/>
      </tp>
    </main>
    <main first="bofaddin.rtdserver">
      <tp t="s">
        <v>#N/A N/A</v>
        <stp/>
        <stp>BDH|818503631386734621</stp>
        <tr r="H62" s="2"/>
      </tp>
    </main>
    <main first="bofaddin.rtdserver">
      <tp t="s">
        <v>#N/A N/A</v>
        <stp/>
        <stp>BDH|667190553310263586</stp>
        <tr r="C87" s="2"/>
      </tp>
    </main>
    <main first="bofaddin.rtdserver">
      <tp t="s">
        <v>#N/A N/A</v>
        <stp/>
        <stp>BDH|158814417708923106</stp>
        <tr r="C78" s="2"/>
      </tp>
      <tp t="s">
        <v>#N/A N/A</v>
        <stp/>
        <stp>BDH|298749223934793175</stp>
        <tr r="E49" s="2"/>
      </tp>
    </main>
    <main first="bofaddin.rtdserver">
      <tp t="s">
        <v>#N/A N/A</v>
        <stp/>
        <stp>BDH|981108670275130043</stp>
        <tr r="E79" s="2"/>
      </tp>
      <tp t="s">
        <v>#N/A N/A</v>
        <stp/>
        <stp>BDH|291086905887170445</stp>
        <tr r="I69" s="2"/>
      </tp>
    </main>
    <main first="bofaddin.rtdserver">
      <tp t="s">
        <v>#N/A N/A</v>
        <stp/>
        <stp>BDH|787639461617772509</stp>
        <tr r="G85" s="2"/>
      </tp>
    </main>
    <main first="bofaddin.rtdserver">
      <tp t="s">
        <v>#N/A N/A</v>
        <stp/>
        <stp>BDH|270748088686395442</stp>
        <tr r="C64" s="2"/>
      </tp>
      <tp t="s">
        <v>#N/A N/A</v>
        <stp/>
        <stp>BDH|430256469659027082</stp>
        <tr r="H58" s="2"/>
      </tp>
    </main>
    <main first="bofaddin.rtdserver">
      <tp t="s">
        <v>#N/A N/A</v>
        <stp/>
        <stp>BDH|344825721070531650</stp>
        <tr r="I9" s="2"/>
      </tp>
    </main>
    <main first="bofaddin.rtdserver">
      <tp t="s">
        <v>#N/A N/A</v>
        <stp/>
        <stp>BDH|148986898138511717</stp>
        <tr r="D87" s="2"/>
      </tp>
    </main>
    <main first="bofaddin.rtdserver">
      <tp t="s">
        <v>#N/A N/A</v>
        <stp/>
        <stp>BDH|803660088506206762</stp>
        <tr r="F71" s="2"/>
      </tp>
    </main>
    <main first="bofaddin.rtdserver">
      <tp t="s">
        <v>#N/A N/A</v>
        <stp/>
        <stp>BDH|905940568274685570</stp>
        <tr r="C50" s="2"/>
      </tp>
    </main>
    <main first="bofaddin.rtdserver">
      <tp t="s">
        <v>#N/A N/A</v>
        <stp/>
        <stp>BDH|356871001671613161</stp>
        <tr r="E61" s="2"/>
      </tp>
    </main>
    <main first="bofaddin.rtdserver">
      <tp t="s">
        <v>#N/A N/A</v>
        <stp/>
        <stp>BDH|419285074236746973</stp>
        <tr r="I33" s="2"/>
        <tr r="I46" s="2"/>
      </tp>
      <tp t="s">
        <v>#N/A N/A</v>
        <stp/>
        <stp>BDH|224754028368601790</stp>
        <tr r="F10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12" width="11.855468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x14ac:dyDescent="0.25">
      <c r="A5" s="9" t="s">
        <v>15</v>
      </c>
      <c r="B5" s="9"/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spans="1:12" x14ac:dyDescent="0.25">
      <c r="A6" s="6" t="s">
        <v>26</v>
      </c>
      <c r="B6" s="16"/>
      <c r="C6" s="16"/>
      <c r="D6" s="16"/>
      <c r="E6" s="16"/>
      <c r="F6" s="16"/>
      <c r="G6" s="16"/>
      <c r="H6" s="16"/>
      <c r="I6" s="16"/>
      <c r="J6" s="17"/>
      <c r="K6" s="16"/>
      <c r="L6" s="16"/>
    </row>
    <row r="7" spans="1:12" x14ac:dyDescent="0.25">
      <c r="A7" s="10" t="s">
        <v>27</v>
      </c>
      <c r="B7" s="10" t="s">
        <v>28</v>
      </c>
      <c r="C7" s="12">
        <f>_xll.BDH("AAPL US Equity","CUR_MKT_CAP","FY 2018","FY 2018","Currency=USD","Period=FY","BEST_FPERIOD_OVERRIDE=FY","FILING_STATUS=MR","Sort=A","Dates=H","DateFormat=P","Fill=—","Direction=H","UseDPDF=Y")</f>
        <v>1090307.4952</v>
      </c>
      <c r="D7" s="12">
        <f>_xll.BDH("AAPL US Equity","CUR_MKT_CAP","FY 2019","FY 2019","Currency=USD","Period=FY","BEST_FPERIOD_OVERRIDE=FY","FILING_STATUS=MR","Sort=A","Dates=H","DateFormat=P","Fill=—","Direction=H","UseDPDF=Y")</f>
        <v>988886.96759999997</v>
      </c>
      <c r="E7" s="12">
        <f>_xll.BDH("AAPL US Equity","CUR_MKT_CAP","FY 2020","FY 2020","Currency=USD","Period=FY","BEST_FPERIOD_OVERRIDE=FY","FILING_STATUS=MR","Sort=A","Dates=H","DateFormat=P","Fill=—","Direction=H","UseDPDF=Y")</f>
        <v>1920272.7420999999</v>
      </c>
      <c r="F7" s="12">
        <f>_xll.BDH("AAPL US Equity","CUR_MKT_CAP","FY 2021","FY 2021","Currency=USD","Period=FY","BEST_FPERIOD_OVERRIDE=FY","FILING_STATUS=MR","Sort=A","Dates=H","DateFormat=P","Fill=—","Direction=H","UseDPDF=Y")</f>
        <v>2428611.9887000001</v>
      </c>
      <c r="G7" s="12">
        <f>_xll.BDH("AAPL US Equity","CUR_MKT_CAP","FY 2022","FY 2022","Currency=USD","Period=FY","BEST_FPERIOD_OVERRIDE=FY","FILING_STATUS=MR","Sort=A","Dates=H","DateFormat=P","Fill=—","Direction=H","UseDPDF=Y")</f>
        <v>2417523.2234</v>
      </c>
      <c r="H7" s="12">
        <f>_xll.BDH("AAPL US Equity","CUR_MKT_CAP","FY 2023","FY 2023","Currency=USD","Period=FY","BEST_FPERIOD_OVERRIDE=FY","FILING_STATUS=MR","Sort=A","Dates=H","DateFormat=P","Fill=—","Direction=H","UseDPDF=Y")</f>
        <v>2676736.8607000001</v>
      </c>
      <c r="I7" s="12">
        <f>_xll.BDH("AAPL US Equity","CUR_MKT_CAP","FY 2024","FY 2024","Currency=USD","Period=FY","BEST_FPERIOD_OVERRIDE=FY","FILING_STATUS=MR","Sort=A","Dates=H","DateFormat=P","Fill=—","Direction=H","UseDPDF=Y")</f>
        <v>3463350.3672000002</v>
      </c>
      <c r="J7" s="14">
        <v>3538987.8032999998</v>
      </c>
      <c r="K7" s="12"/>
      <c r="L7" s="12"/>
    </row>
    <row r="8" spans="1:12" x14ac:dyDescent="0.25">
      <c r="A8" s="10" t="s">
        <v>29</v>
      </c>
      <c r="B8" s="10" t="s">
        <v>30</v>
      </c>
      <c r="C8" s="12">
        <f>_xll.BDH("AAPL US Equity","BS_CASH_NEAR_CASH_ITEM","FY 2018","FY 2018","Currency=USD","Period=FY","BEST_FPERIOD_OVERRIDE=FY","FILING_STATUS=MR","SCALING_FORMAT=MLN","Sort=A","Dates=H","DateFormat=P","Fill=—","Direction=H","UseDPDF=Y")</f>
        <v>25913</v>
      </c>
      <c r="D8" s="12">
        <f>_xll.BDH("AAPL US Equity","BS_CASH_NEAR_CASH_ITEM","FY 2019","FY 2019","Currency=USD","Period=FY","BEST_FPERIOD_OVERRIDE=FY","FILING_STATUS=MR","SCALING_FORMAT=MLN","Sort=A","Dates=H","DateFormat=P","Fill=—","Direction=H","UseDPDF=Y")</f>
        <v>48844</v>
      </c>
      <c r="E8" s="12">
        <f>_xll.BDH("AAPL US Equity","BS_CASH_NEAR_CASH_ITEM","FY 2020","FY 2020","Currency=USD","Period=FY","BEST_FPERIOD_OVERRIDE=FY","FILING_STATUS=MR","SCALING_FORMAT=MLN","Sort=A","Dates=H","DateFormat=P","Fill=—","Direction=H","UseDPDF=Y")</f>
        <v>38016</v>
      </c>
      <c r="F8" s="12">
        <f>_xll.BDH("AAPL US Equity","BS_CASH_NEAR_CASH_ITEM","FY 2021","FY 2021","Currency=USD","Period=FY","BEST_FPERIOD_OVERRIDE=FY","FILING_STATUS=MR","SCALING_FORMAT=MLN","Sort=A","Dates=H","DateFormat=P","Fill=—","Direction=H","UseDPDF=Y")</f>
        <v>34940</v>
      </c>
      <c r="G8" s="12">
        <f>_xll.BDH("AAPL US Equity","BS_CASH_NEAR_CASH_ITEM","FY 2022","FY 2022","Currency=USD","Period=FY","BEST_FPERIOD_OVERRIDE=FY","FILING_STATUS=MR","SCALING_FORMAT=MLN","Sort=A","Dates=H","DateFormat=P","Fill=—","Direction=H","UseDPDF=Y")</f>
        <v>23646</v>
      </c>
      <c r="H8" s="12">
        <f>_xll.BDH("AAPL US Equity","BS_CASH_NEAR_CASH_ITEM","FY 2023","FY 2023","Currency=USD","Period=FY","BEST_FPERIOD_OVERRIDE=FY","FILING_STATUS=MR","SCALING_FORMAT=MLN","Sort=A","Dates=H","DateFormat=P","Fill=—","Direction=H","UseDPDF=Y")</f>
        <v>29965</v>
      </c>
      <c r="I8" s="12">
        <f>_xll.BDH("AAPL US Equity","BS_CASH_NEAR_CASH_ITEM","FY 2024","FY 2024","Currency=USD","Period=FY","BEST_FPERIOD_OVERRIDE=FY","FILING_STATUS=MR","SCALING_FORMAT=MLN","Sort=A","Dates=H","DateFormat=P","Fill=—","Direction=H","UseDPDF=Y")</f>
        <v>29943</v>
      </c>
      <c r="J8" s="14">
        <v>36269</v>
      </c>
      <c r="K8" s="12"/>
      <c r="L8" s="12"/>
    </row>
    <row r="9" spans="1:12" x14ac:dyDescent="0.25">
      <c r="A9" s="10" t="s">
        <v>31</v>
      </c>
      <c r="B9" s="10" t="s">
        <v>32</v>
      </c>
      <c r="C9" s="12">
        <f>_xll.BDH("AAPL US Equity","BS_MKT_SEC_OTHER_ST_INVEST","FY 2018","FY 2018","Currency=USD","Period=FY","BEST_FPERIOD_OVERRIDE=FY","FILING_STATUS=MR","SCALING_FORMAT=MLN","Sort=A","Dates=H","DateFormat=P","Fill=—","Direction=H","UseDPDF=Y")</f>
        <v>40388</v>
      </c>
      <c r="D9" s="12">
        <f>_xll.BDH("AAPL US Equity","BS_MKT_SEC_OTHER_ST_INVEST","FY 2019","FY 2019","Currency=USD","Period=FY","BEST_FPERIOD_OVERRIDE=FY","FILING_STATUS=MR","SCALING_FORMAT=MLN","Sort=A","Dates=H","DateFormat=P","Fill=—","Direction=H","UseDPDF=Y")</f>
        <v>51713</v>
      </c>
      <c r="E9" s="12">
        <f>_xll.BDH("AAPL US Equity","BS_MKT_SEC_OTHER_ST_INVEST","FY 2020","FY 2020","Currency=USD","Period=FY","BEST_FPERIOD_OVERRIDE=FY","FILING_STATUS=MR","SCALING_FORMAT=MLN","Sort=A","Dates=H","DateFormat=P","Fill=—","Direction=H","UseDPDF=Y")</f>
        <v>52927</v>
      </c>
      <c r="F9" s="12">
        <f>_xll.BDH("AAPL US Equity","BS_MKT_SEC_OTHER_ST_INVEST","FY 2021","FY 2021","Currency=USD","Period=FY","BEST_FPERIOD_OVERRIDE=FY","FILING_STATUS=MR","SCALING_FORMAT=MLN","Sort=A","Dates=H","DateFormat=P","Fill=—","Direction=H","UseDPDF=Y")</f>
        <v>27699</v>
      </c>
      <c r="G9" s="12">
        <f>_xll.BDH("AAPL US Equity","BS_MKT_SEC_OTHER_ST_INVEST","FY 2022","FY 2022","Currency=USD","Period=FY","BEST_FPERIOD_OVERRIDE=FY","FILING_STATUS=MR","SCALING_FORMAT=MLN","Sort=A","Dates=H","DateFormat=P","Fill=—","Direction=H","UseDPDF=Y")</f>
        <v>24658</v>
      </c>
      <c r="H9" s="12">
        <f>_xll.BDH("AAPL US Equity","BS_MKT_SEC_OTHER_ST_INVEST","FY 2023","FY 2023","Currency=USD","Period=FY","BEST_FPERIOD_OVERRIDE=FY","FILING_STATUS=MR","SCALING_FORMAT=MLN","Sort=A","Dates=H","DateFormat=P","Fill=—","Direction=H","UseDPDF=Y")</f>
        <v>31590</v>
      </c>
      <c r="I9" s="12">
        <f>_xll.BDH("AAPL US Equity","BS_MKT_SEC_OTHER_ST_INVEST","FY 2024","FY 2024","Currency=USD","Period=FY","BEST_FPERIOD_OVERRIDE=FY","FILING_STATUS=MR","SCALING_FORMAT=MLN","Sort=A","Dates=H","DateFormat=P","Fill=—","Direction=H","UseDPDF=Y")</f>
        <v>35228</v>
      </c>
      <c r="J9" s="14">
        <v>19103</v>
      </c>
      <c r="K9" s="12"/>
      <c r="L9" s="12"/>
    </row>
    <row r="10" spans="1:12" x14ac:dyDescent="0.25">
      <c r="A10" s="10" t="s">
        <v>33</v>
      </c>
      <c r="B10" s="10" t="s">
        <v>34</v>
      </c>
      <c r="C10" s="12">
        <f>_xll.BDH("AAPL US Equity","PFD_EQTY_MINORTY_INTEREST","FY 2018","FY 2018","Currency=USD","Period=FY","BEST_FPERIOD_OVERRIDE=FY","FILING_STATUS=MR","SCALING_FORMAT=MLN","Sort=A","Dates=H","DateFormat=P","Fill=—","Direction=H","UseDPDF=Y")</f>
        <v>0</v>
      </c>
      <c r="D10" s="12">
        <f>_xll.BDH("AAPL US Equity","PFD_EQTY_MINORTY_INTEREST","FY 2019","FY 2019","Currency=USD","Period=FY","BEST_FPERIOD_OVERRIDE=FY","FILING_STATUS=MR","SCALING_FORMAT=MLN","Sort=A","Dates=H","DateFormat=P","Fill=—","Direction=H","UseDPDF=Y")</f>
        <v>0</v>
      </c>
      <c r="E10" s="12">
        <f>_xll.BDH("AAPL US Equity","PFD_EQTY_MINORTY_INTEREST","FY 2020","FY 2020","Currency=USD","Period=FY","BEST_FPERIOD_OVERRIDE=FY","FILING_STATUS=MR","SCALING_FORMAT=MLN","Sort=A","Dates=H","DateFormat=P","Fill=—","Direction=H","UseDPDF=Y")</f>
        <v>0</v>
      </c>
      <c r="F10" s="12">
        <f>_xll.BDH("AAPL US Equity","PFD_EQTY_MINORTY_INTEREST","FY 2021","FY 2021","Currency=USD","Period=FY","BEST_FPERIOD_OVERRIDE=FY","FILING_STATUS=MR","SCALING_FORMAT=MLN","Sort=A","Dates=H","DateFormat=P","Fill=—","Direction=H","UseDPDF=Y")</f>
        <v>0</v>
      </c>
      <c r="G10" s="12">
        <f>_xll.BDH("AAPL US Equity","PFD_EQTY_MINORTY_INTEREST","FY 2022","FY 2022","Currency=USD","Period=FY","BEST_FPERIOD_OVERRIDE=FY","FILING_STATUS=MR","SCALING_FORMAT=MLN","Sort=A","Dates=H","DateFormat=P","Fill=—","Direction=H","UseDPDF=Y")</f>
        <v>0</v>
      </c>
      <c r="H10" s="12">
        <f>_xll.BDH("AAPL US Equity","PFD_EQTY_MINORTY_INTEREST","FY 2023","FY 2023","Currency=USD","Period=FY","BEST_FPERIOD_OVERRIDE=FY","FILING_STATUS=MR","SCALING_FORMAT=MLN","Sort=A","Dates=H","DateFormat=P","Fill=—","Direction=H","UseDPDF=Y")</f>
        <v>0</v>
      </c>
      <c r="I10" s="12">
        <f>_xll.BDH("AAPL US Equity","PFD_EQTY_MINORTY_INTEREST","FY 2024","FY 2024","Currency=USD","Period=FY","BEST_FPERIOD_OVERRIDE=FY","FILING_STATUS=MR","SCALING_FORMAT=MLN","Sort=A","Dates=H","DateFormat=P","Fill=—","Direction=H","UseDPDF=Y")</f>
        <v>0</v>
      </c>
      <c r="J10" s="14">
        <v>0</v>
      </c>
      <c r="K10" s="12"/>
      <c r="L10" s="12"/>
    </row>
    <row r="11" spans="1:12" x14ac:dyDescent="0.25">
      <c r="A11" s="10" t="s">
        <v>35</v>
      </c>
      <c r="B11" s="10" t="s">
        <v>36</v>
      </c>
      <c r="C11" s="12">
        <f>_xll.BDH("AAPL US Equity","SHORT_AND_LONG_TERM_DEBT","FY 2018","FY 2018","Currency=USD","Period=FY","BEST_FPERIOD_OVERRIDE=FY","FILING_STATUS=MR","SCALING_FORMAT=MLN","Sort=A","Dates=H","DateFormat=P","Fill=—","Direction=H","UseDPDF=Y")</f>
        <v>114483</v>
      </c>
      <c r="D11" s="12">
        <f>_xll.BDH("AAPL US Equity","SHORT_AND_LONG_TERM_DEBT","FY 2019","FY 2019","Currency=USD","Period=FY","BEST_FPERIOD_OVERRIDE=FY","FILING_STATUS=MR","SCALING_FORMAT=MLN","Sort=A","Dates=H","DateFormat=P","Fill=—","Direction=H","UseDPDF=Y")</f>
        <v>108047</v>
      </c>
      <c r="E11" s="12">
        <f>_xll.BDH("AAPL US Equity","SHORT_AND_LONG_TERM_DEBT","FY 2020","FY 2020","Currency=USD","Period=FY","BEST_FPERIOD_OVERRIDE=FY","FILING_STATUS=MR","SCALING_FORMAT=MLN","Sort=A","Dates=H","DateFormat=P","Fill=—","Direction=H","UseDPDF=Y")</f>
        <v>122278</v>
      </c>
      <c r="F11" s="12">
        <f>_xll.BDH("AAPL US Equity","SHORT_AND_LONG_TERM_DEBT","FY 2021","FY 2021","Currency=USD","Period=FY","BEST_FPERIOD_OVERRIDE=FY","FILING_STATUS=MR","SCALING_FORMAT=MLN","Sort=A","Dates=H","DateFormat=P","Fill=—","Direction=H","UseDPDF=Y")</f>
        <v>136522</v>
      </c>
      <c r="G11" s="12">
        <f>_xll.BDH("AAPL US Equity","SHORT_AND_LONG_TERM_DEBT","FY 2022","FY 2022","Currency=USD","Period=FY","BEST_FPERIOD_OVERRIDE=FY","FILING_STATUS=MR","SCALING_FORMAT=MLN","Sort=A","Dates=H","DateFormat=P","Fill=—","Direction=H","UseDPDF=Y")</f>
        <v>132480</v>
      </c>
      <c r="H11" s="12">
        <f>_xll.BDH("AAPL US Equity","SHORT_AND_LONG_TERM_DEBT","FY 2023","FY 2023","Currency=USD","Period=FY","BEST_FPERIOD_OVERRIDE=FY","FILING_STATUS=MR","SCALING_FORMAT=MLN","Sort=A","Dates=H","DateFormat=P","Fill=—","Direction=H","UseDPDF=Y")</f>
        <v>123930</v>
      </c>
      <c r="I11" s="12">
        <f>_xll.BDH("AAPL US Equity","SHORT_AND_LONG_TERM_DEBT","FY 2024","FY 2024","Currency=USD","Period=FY","BEST_FPERIOD_OVERRIDE=FY","FILING_STATUS=MR","SCALING_FORMAT=MLN","Sort=A","Dates=H","DateFormat=P","Fill=—","Direction=H","UseDPDF=Y")</f>
        <v>119059</v>
      </c>
      <c r="J11" s="14">
        <v>101698</v>
      </c>
      <c r="K11" s="12"/>
      <c r="L11" s="12"/>
    </row>
    <row r="12" spans="1:12" x14ac:dyDescent="0.25">
      <c r="A12" s="10" t="s">
        <v>37</v>
      </c>
      <c r="B12" s="10" t="s">
        <v>38</v>
      </c>
      <c r="C12" s="12">
        <f>_xll.BDH("AAPL US Equity","CURR_ENTP_VAL","FY 2018","FY 2018","Currency=USD","Period=FY","BEST_FPERIOD_OVERRIDE=FY","FILING_STATUS=MR","SCALING_FORMAT=MLN","Sort=A","Dates=H","DateFormat=P","Fill=—","Direction=H","UseDPDF=Y")</f>
        <v>967690.4952</v>
      </c>
      <c r="D12" s="12">
        <f>_xll.BDH("AAPL US Equity","CURR_ENTP_VAL","FY 2019","FY 2019","Currency=USD","Period=FY","BEST_FPERIOD_OVERRIDE=FY","FILING_STATUS=MR","SCALING_FORMAT=MLN","Sort=A","Dates=H","DateFormat=P","Fill=—","Direction=H","UseDPDF=Y")</f>
        <v>891035.96759999997</v>
      </c>
      <c r="E12" s="12">
        <f>_xll.BDH("AAPL US Equity","CURR_ENTP_VAL","FY 2020","FY 2020","Currency=USD","Period=FY","BEST_FPERIOD_OVERRIDE=FY","FILING_STATUS=MR","SCALING_FORMAT=MLN","Sort=A","Dates=H","DateFormat=P","Fill=—","Direction=H","UseDPDF=Y")</f>
        <v>1850720.7420999999</v>
      </c>
      <c r="F12" s="12">
        <f>_xll.BDH("AAPL US Equity","CURR_ENTP_VAL","FY 2021","FY 2021","Currency=USD","Period=FY","BEST_FPERIOD_OVERRIDE=FY","FILING_STATUS=MR","SCALING_FORMAT=MLN","Sort=A","Dates=H","DateFormat=P","Fill=—","Direction=H","UseDPDF=Y")</f>
        <v>2374617.9887000001</v>
      </c>
      <c r="G12" s="12">
        <f>_xll.BDH("AAPL US Equity","CURR_ENTP_VAL","FY 2022","FY 2022","Currency=USD","Period=FY","BEST_FPERIOD_OVERRIDE=FY","FILING_STATUS=MR","SCALING_FORMAT=MLN","Sort=A","Dates=H","DateFormat=P","Fill=—","Direction=H","UseDPDF=Y")</f>
        <v>2380894.2234</v>
      </c>
      <c r="H12" s="12">
        <f>_xll.BDH("AAPL US Equity","CURR_ENTP_VAL","FY 2023","FY 2023","Currency=USD","Period=FY","BEST_FPERIOD_OVERRIDE=FY","FILING_STATUS=MR","SCALING_FORMAT=MLN","Sort=A","Dates=H","DateFormat=P","Fill=—","Direction=H","UseDPDF=Y")</f>
        <v>2638567.8607000001</v>
      </c>
      <c r="I12" s="12">
        <f>_xll.BDH("AAPL US Equity","CURR_ENTP_VAL","FY 2024","FY 2024","Currency=USD","Period=FY","BEST_FPERIOD_OVERRIDE=FY","FILING_STATUS=MR","SCALING_FORMAT=MLN","Sort=A","Dates=H","DateFormat=P","Fill=—","Direction=H","UseDPDF=Y")</f>
        <v>3425759.3672000002</v>
      </c>
      <c r="J12" s="14">
        <v>3507699.8032999998</v>
      </c>
      <c r="K12" s="12"/>
      <c r="L12" s="12"/>
    </row>
    <row r="13" spans="1:12" x14ac:dyDescent="0.25">
      <c r="A13" s="10" t="s">
        <v>39</v>
      </c>
      <c r="B13" s="10" t="s">
        <v>40</v>
      </c>
      <c r="C13" s="13">
        <f>_xll.BDH("AAPL US Equity","EQY_SH_OUT","FY 2018","FY 2018","Currency=USD","Period=FY","BEST_FPERIOD_OVERRIDE=FY","FILING_STATUS=MR","Sort=A","Dates=H","DateFormat=P","Fill=—","Direction=H","UseDPDF=Y")</f>
        <v>19319.704000000002</v>
      </c>
      <c r="D13" s="13">
        <f>_xll.BDH("AAPL US Equity","EQY_SH_OUT","FY 2019","FY 2019","Currency=USD","Period=FY","BEST_FPERIOD_OVERRIDE=FY","FILING_STATUS=MR","Sort=A","Dates=H","DateFormat=P","Fill=—","Direction=H","UseDPDF=Y")</f>
        <v>18076.72</v>
      </c>
      <c r="E13" s="13">
        <f>_xll.BDH("AAPL US Equity","EQY_SH_OUT","FY 2020","FY 2020","Currency=USD","Period=FY","BEST_FPERIOD_OVERRIDE=FY","FILING_STATUS=MR","Sort=A","Dates=H","DateFormat=P","Fill=—","Direction=H","UseDPDF=Y")</f>
        <v>17102.536</v>
      </c>
      <c r="F13" s="13">
        <f>_xll.BDH("AAPL US Equity","EQY_SH_OUT","FY 2021","FY 2021","Currency=USD","Period=FY","BEST_FPERIOD_OVERRIDE=FY","FILING_STATUS=MR","Sort=A","Dates=H","DateFormat=P","Fill=—","Direction=H","UseDPDF=Y")</f>
        <v>16530.166000000001</v>
      </c>
      <c r="G13" s="13">
        <f>_xll.BDH("AAPL US Equity","EQY_SH_OUT","FY 2022","FY 2022","Currency=USD","Period=FY","BEST_FPERIOD_OVERRIDE=FY","FILING_STATUS=MR","Sort=A","Dates=H","DateFormat=P","Fill=—","Direction=H","UseDPDF=Y")</f>
        <v>16070.752</v>
      </c>
      <c r="H13" s="13">
        <f>_xll.BDH("AAPL US Equity","EQY_SH_OUT","FY 2023","FY 2023","Currency=USD","Period=FY","BEST_FPERIOD_OVERRIDE=FY","FILING_STATUS=MR","Sort=A","Dates=H","DateFormat=P","Fill=—","Direction=H","UseDPDF=Y")</f>
        <v>15634.232</v>
      </c>
      <c r="I13" s="13">
        <f>_xll.BDH("AAPL US Equity","EQY_SH_OUT","FY 2024","FY 2024","Currency=USD","Period=FY","BEST_FPERIOD_OVERRIDE=FY","FILING_STATUS=MR","Sort=A","Dates=H","DateFormat=P","Fill=—","Direction=H","UseDPDF=Y")</f>
        <v>15204.137000000001</v>
      </c>
      <c r="J13" s="15">
        <v>14840.39</v>
      </c>
      <c r="K13" s="13"/>
      <c r="L13" s="13"/>
    </row>
    <row r="14" spans="1:12" x14ac:dyDescent="0.25">
      <c r="A14" s="10" t="s">
        <v>41</v>
      </c>
      <c r="B14" s="10" t="s">
        <v>42</v>
      </c>
      <c r="C14" s="12">
        <f>_xll.BDH("AAPL US Equity","BS_SH_OUT","FY 2018","FY 2018","Currency=USD","Period=FY","BEST_FPERIOD_OVERRIDE=FY","FILING_STATUS=MR","Sort=A","Dates=H","DateFormat=P","Fill=—","Direction=H","UseDPDF=Y")</f>
        <v>19019.944</v>
      </c>
      <c r="D14" s="12">
        <f>_xll.BDH("AAPL US Equity","BS_SH_OUT","FY 2019","FY 2019","Currency=USD","Period=FY","BEST_FPERIOD_OVERRIDE=FY","FILING_STATUS=MR","Sort=A","Dates=H","DateFormat=P","Fill=—","Direction=H","UseDPDF=Y")</f>
        <v>17772.945</v>
      </c>
      <c r="E14" s="12">
        <f>_xll.BDH("AAPL US Equity","BS_SH_OUT","FY 2020","FY 2020","Currency=USD","Period=FY","BEST_FPERIOD_OVERRIDE=FY","FILING_STATUS=MR","Sort=A","Dates=H","DateFormat=P","Fill=—","Direction=H","UseDPDF=Y")</f>
        <v>16976.762999999999</v>
      </c>
      <c r="F14" s="12">
        <f>_xll.BDH("AAPL US Equity","BS_SH_OUT","FY 2021","FY 2021","Currency=USD","Period=FY","BEST_FPERIOD_OVERRIDE=FY","FILING_STATUS=MR","Sort=A","Dates=H","DateFormat=P","Fill=—","Direction=H","UseDPDF=Y")</f>
        <v>16426.786</v>
      </c>
      <c r="G14" s="12">
        <f>_xll.BDH("AAPL US Equity","BS_SH_OUT","FY 2022","FY 2022","Currency=USD","Period=FY","BEST_FPERIOD_OVERRIDE=FY","FILING_STATUS=MR","Sort=A","Dates=H","DateFormat=P","Fill=—","Direction=H","UseDPDF=Y")</f>
        <v>15943.424999999999</v>
      </c>
      <c r="H14" s="12">
        <f>_xll.BDH("AAPL US Equity","BS_SH_OUT","FY 2023","FY 2023","Currency=USD","Period=FY","BEST_FPERIOD_OVERRIDE=FY","FILING_STATUS=MR","Sort=A","Dates=H","DateFormat=P","Fill=—","Direction=H","UseDPDF=Y")</f>
        <v>15550.061</v>
      </c>
      <c r="I14" s="12">
        <f>_xll.BDH("AAPL US Equity","BS_SH_OUT","FY 2024","FY 2024","Currency=USD","Period=FY","BEST_FPERIOD_OVERRIDE=FY","FILING_STATUS=MR","Sort=A","Dates=H","DateFormat=P","Fill=—","Direction=H","UseDPDF=Y")</f>
        <v>15116.786</v>
      </c>
      <c r="J14" s="14">
        <v>14856.722</v>
      </c>
      <c r="K14" s="12"/>
      <c r="L14" s="12"/>
    </row>
    <row r="15" spans="1:12" x14ac:dyDescent="0.25">
      <c r="A15" s="11" t="s">
        <v>43</v>
      </c>
      <c r="B15" s="11" t="s">
        <v>42</v>
      </c>
      <c r="C15" s="18">
        <v>-7.2415225232096896</v>
      </c>
      <c r="D15" s="18">
        <v>-6.55627061783147</v>
      </c>
      <c r="E15" s="18">
        <v>-4.4797415397391998</v>
      </c>
      <c r="F15" s="18">
        <v>-3.2395869577727998</v>
      </c>
      <c r="G15" s="18">
        <v>-2.9425171789539402</v>
      </c>
      <c r="H15" s="18">
        <v>-2.4672490383966998</v>
      </c>
      <c r="I15" s="18">
        <v>-2.7863234748725398</v>
      </c>
      <c r="J15" s="19"/>
      <c r="K15" s="18"/>
      <c r="L15" s="18"/>
    </row>
    <row r="16" spans="1:12" x14ac:dyDescent="0.25">
      <c r="A16" s="6"/>
      <c r="B16" s="16"/>
      <c r="C16" s="16"/>
      <c r="D16" s="16"/>
      <c r="E16" s="16"/>
      <c r="F16" s="16"/>
      <c r="G16" s="16"/>
      <c r="H16" s="16"/>
      <c r="I16" s="16"/>
      <c r="J16" s="17"/>
      <c r="K16" s="16"/>
      <c r="L16" s="16"/>
    </row>
    <row r="17" spans="1:12" x14ac:dyDescent="0.25">
      <c r="A17" s="6" t="s">
        <v>44</v>
      </c>
      <c r="B17" s="16"/>
      <c r="C17" s="16"/>
      <c r="D17" s="16"/>
      <c r="E17" s="16"/>
      <c r="F17" s="16"/>
      <c r="G17" s="16"/>
      <c r="H17" s="16"/>
      <c r="I17" s="16"/>
      <c r="J17" s="17"/>
      <c r="K17" s="16"/>
      <c r="L17" s="16"/>
    </row>
    <row r="18" spans="1:12" x14ac:dyDescent="0.25">
      <c r="A18" s="10" t="s">
        <v>0</v>
      </c>
      <c r="B18" s="10" t="s">
        <v>45</v>
      </c>
      <c r="C18" s="12">
        <f>_xll.BDH("AAPL US Equity","SALES_REV_TURN","FY 2018","FY 2018","Currency=USD","Period=FY","BEST_FPERIOD_OVERRIDE=FY","FILING_STATUS=MR","SCALING_FORMAT=MLN","FA_ADJUSTED=GAAP","Sort=A","Dates=H","DateFormat=P","Fill=—","Direction=H","UseDPDF=Y")</f>
        <v>265595</v>
      </c>
      <c r="D18" s="12">
        <f>_xll.BDH("AAPL US Equity","SALES_REV_TURN","FY 2019","FY 2019","Currency=USD","Period=FY","BEST_FPERIOD_OVERRIDE=FY","FILING_STATUS=MR","SCALING_FORMAT=MLN","FA_ADJUSTED=GAAP","Sort=A","Dates=H","DateFormat=P","Fill=—","Direction=H","UseDPDF=Y")</f>
        <v>260174</v>
      </c>
      <c r="E18" s="12">
        <f>_xll.BDH("AAPL US Equity","SALES_REV_TURN","FY 2020","FY 2020","Currency=USD","Period=FY","BEST_FPERIOD_OVERRIDE=FY","FILING_STATUS=MR","SCALING_FORMAT=MLN","FA_ADJUSTED=GAAP","Sort=A","Dates=H","DateFormat=P","Fill=—","Direction=H","UseDPDF=Y")</f>
        <v>274515</v>
      </c>
      <c r="F18" s="12">
        <f>_xll.BDH("AAPL US Equity","SALES_REV_TURN","FY 2021","FY 2021","Currency=USD","Period=FY","BEST_FPERIOD_OVERRIDE=FY","FILING_STATUS=MR","SCALING_FORMAT=MLN","FA_ADJUSTED=GAAP","Sort=A","Dates=H","DateFormat=P","Fill=—","Direction=H","UseDPDF=Y")</f>
        <v>365817</v>
      </c>
      <c r="G18" s="12">
        <f>_xll.BDH("AAPL US Equity","SALES_REV_TURN","FY 2022","FY 2022","Currency=USD","Period=FY","BEST_FPERIOD_OVERRIDE=FY","FILING_STATUS=MR","SCALING_FORMAT=MLN","FA_ADJUSTED=GAAP","Sort=A","Dates=H","DateFormat=P","Fill=—","Direction=H","UseDPDF=Y")</f>
        <v>394328</v>
      </c>
      <c r="H18" s="12">
        <f>_xll.BDH("AAPL US Equity","SALES_REV_TURN","FY 2023","FY 2023","Currency=USD","Period=FY","BEST_FPERIOD_OVERRIDE=FY","FILING_STATUS=MR","SCALING_FORMAT=MLN","FA_ADJUSTED=GAAP","Sort=A","Dates=H","DateFormat=P","Fill=—","Direction=H","UseDPDF=Y")</f>
        <v>383285</v>
      </c>
      <c r="I18" s="12">
        <f>_xll.BDH("AAPL US Equity","SALES_REV_TURN","FY 2024","FY 2024","Currency=USD","Period=FY","BEST_FPERIOD_OVERRIDE=FY","FILING_STATUS=MR","SCALING_FORMAT=MLN","FA_ADJUSTED=GAAP","Sort=A","Dates=H","DateFormat=P","Fill=—","Direction=H","UseDPDF=Y")</f>
        <v>391035</v>
      </c>
      <c r="J18" s="14">
        <v>408625</v>
      </c>
      <c r="K18" s="12">
        <v>414470.33333333302</v>
      </c>
      <c r="L18" s="12">
        <v>437212.14634146303</v>
      </c>
    </row>
    <row r="19" spans="1:12" x14ac:dyDescent="0.25">
      <c r="A19" s="11" t="s">
        <v>43</v>
      </c>
      <c r="B19" s="11" t="s">
        <v>45</v>
      </c>
      <c r="C19" s="18">
        <v>15.861958</v>
      </c>
      <c r="D19" s="18">
        <v>-2.0410780000000002</v>
      </c>
      <c r="E19" s="18">
        <v>5.5120800000000001</v>
      </c>
      <c r="F19" s="18">
        <v>33.259385000000002</v>
      </c>
      <c r="G19" s="18">
        <v>7.7937880000000002</v>
      </c>
      <c r="H19" s="18">
        <v>-2.8004609999999999</v>
      </c>
      <c r="I19" s="18">
        <v>2.0219939999999998</v>
      </c>
      <c r="J19" s="19">
        <v>5.9703892345235898</v>
      </c>
      <c r="K19" s="18">
        <v>5.99315491793147</v>
      </c>
      <c r="L19" s="18">
        <v>5.4869579748281403</v>
      </c>
    </row>
    <row r="20" spans="1:12" x14ac:dyDescent="0.25">
      <c r="A20" s="11" t="s">
        <v>46</v>
      </c>
      <c r="B20" s="11" t="s">
        <v>45</v>
      </c>
      <c r="C20" s="18">
        <v>15.861957650261299</v>
      </c>
      <c r="D20" s="18">
        <v>-2.04107758052674</v>
      </c>
      <c r="E20" s="18">
        <v>5.5120803769784796</v>
      </c>
      <c r="F20" s="18">
        <v>33.259384733074697</v>
      </c>
      <c r="G20" s="18">
        <v>7.7937876041846099</v>
      </c>
      <c r="H20" s="18">
        <v>-2.8004605303199401</v>
      </c>
      <c r="I20" s="18">
        <v>2.0219940775141199</v>
      </c>
      <c r="J20" s="19">
        <v>4.4983185648343502</v>
      </c>
      <c r="K20" s="18">
        <v>5.99315491793147</v>
      </c>
      <c r="L20" s="18">
        <v>5.4869579748281403</v>
      </c>
    </row>
    <row r="21" spans="1:12" x14ac:dyDescent="0.25">
      <c r="A21" s="10" t="s">
        <v>1</v>
      </c>
      <c r="B21" s="10" t="s">
        <v>47</v>
      </c>
      <c r="C21" s="12">
        <f>_xll.BDH("AAPL US Equity","GROSS_PROFIT","FY 2018","FY 2018","Currency=USD","Period=FY","BEST_FPERIOD_OVERRIDE=FY","FILING_STATUS=MR","SCALING_FORMAT=MLN","FA_ADJUSTED=GAAP","Sort=A","Dates=H","DateFormat=P","Fill=—","Direction=H","UseDPDF=Y")</f>
        <v>101839</v>
      </c>
      <c r="D21" s="12">
        <f>_xll.BDH("AAPL US Equity","GROSS_PROFIT","FY 2019","FY 2019","Currency=USD","Period=FY","BEST_FPERIOD_OVERRIDE=FY","FILING_STATUS=MR","SCALING_FORMAT=MLN","FA_ADJUSTED=GAAP","Sort=A","Dates=H","DateFormat=P","Fill=—","Direction=H","UseDPDF=Y")</f>
        <v>98392</v>
      </c>
      <c r="E21" s="12">
        <f>_xll.BDH("AAPL US Equity","GROSS_PROFIT","FY 2020","FY 2020","Currency=USD","Period=FY","BEST_FPERIOD_OVERRIDE=FY","FILING_STATUS=MR","SCALING_FORMAT=MLN","FA_ADJUSTED=GAAP","Sort=A","Dates=H","DateFormat=P","Fill=—","Direction=H","UseDPDF=Y")</f>
        <v>104956</v>
      </c>
      <c r="F21" s="12">
        <f>_xll.BDH("AAPL US Equity","GROSS_PROFIT","FY 2021","FY 2021","Currency=USD","Period=FY","BEST_FPERIOD_OVERRIDE=FY","FILING_STATUS=MR","SCALING_FORMAT=MLN","FA_ADJUSTED=GAAP","Sort=A","Dates=H","DateFormat=P","Fill=—","Direction=H","UseDPDF=Y")</f>
        <v>152836</v>
      </c>
      <c r="G21" s="12">
        <f>_xll.BDH("AAPL US Equity","GROSS_PROFIT","FY 2022","FY 2022","Currency=USD","Period=FY","BEST_FPERIOD_OVERRIDE=FY","FILING_STATUS=MR","SCALING_FORMAT=MLN","FA_ADJUSTED=GAAP","Sort=A","Dates=H","DateFormat=P","Fill=—","Direction=H","UseDPDF=Y")</f>
        <v>170782</v>
      </c>
      <c r="H21" s="12">
        <f>_xll.BDH("AAPL US Equity","GROSS_PROFIT","FY 2023","FY 2023","Currency=USD","Period=FY","BEST_FPERIOD_OVERRIDE=FY","FILING_STATUS=MR","SCALING_FORMAT=MLN","FA_ADJUSTED=GAAP","Sort=A","Dates=H","DateFormat=P","Fill=—","Direction=H","UseDPDF=Y")</f>
        <v>169148</v>
      </c>
      <c r="I21" s="12">
        <f>_xll.BDH("AAPL US Equity","GROSS_PROFIT","FY 2024","FY 2024","Currency=USD","Period=FY","BEST_FPERIOD_OVERRIDE=FY","FILING_STATUS=MR","SCALING_FORMAT=MLN","FA_ADJUSTED=GAAP","Sort=A","Dates=H","DateFormat=P","Fill=—","Direction=H","UseDPDF=Y")</f>
        <v>180683</v>
      </c>
      <c r="J21" s="14">
        <v>190739</v>
      </c>
      <c r="K21" s="12">
        <v>193793.89375666701</v>
      </c>
      <c r="L21" s="12">
        <v>206683.29793999999</v>
      </c>
    </row>
    <row r="22" spans="1:12" x14ac:dyDescent="0.25">
      <c r="A22" s="11" t="s">
        <v>43</v>
      </c>
      <c r="B22" s="11" t="s">
        <v>47</v>
      </c>
      <c r="C22" s="18">
        <v>15.4820493048783</v>
      </c>
      <c r="D22" s="18">
        <v>-3.3847543671874201</v>
      </c>
      <c r="E22" s="18">
        <v>6.6712740873241696</v>
      </c>
      <c r="F22" s="18">
        <v>45.619116582186798</v>
      </c>
      <c r="G22" s="18">
        <v>11.7419979585961</v>
      </c>
      <c r="H22" s="18">
        <v>-0.95677530418896595</v>
      </c>
      <c r="I22" s="18">
        <v>6.8194717052522096</v>
      </c>
      <c r="J22" s="19">
        <v>7.6216914648114598</v>
      </c>
      <c r="K22" s="18">
        <v>7.2562962518148701</v>
      </c>
      <c r="L22" s="18">
        <v>6.6510889138321803</v>
      </c>
    </row>
    <row r="23" spans="1:12" x14ac:dyDescent="0.25">
      <c r="A23" s="11" t="s">
        <v>46</v>
      </c>
      <c r="B23" s="11" t="s">
        <v>47</v>
      </c>
      <c r="C23" s="18">
        <v>15.4820493048783</v>
      </c>
      <c r="D23" s="18">
        <v>-3.3847543671874201</v>
      </c>
      <c r="E23" s="18">
        <v>6.6712740873241696</v>
      </c>
      <c r="F23" s="18">
        <v>45.619116582186798</v>
      </c>
      <c r="G23" s="18">
        <v>11.7419979585961</v>
      </c>
      <c r="H23" s="18">
        <v>-0.95677530418896595</v>
      </c>
      <c r="I23" s="18">
        <v>6.8194717052522096</v>
      </c>
      <c r="J23" s="19">
        <v>5.5655485020726898</v>
      </c>
      <c r="K23" s="18">
        <v>7.2562962518148701</v>
      </c>
      <c r="L23" s="18">
        <v>6.6510889138321803</v>
      </c>
    </row>
    <row r="24" spans="1:12" x14ac:dyDescent="0.25">
      <c r="A24" s="10" t="s">
        <v>48</v>
      </c>
      <c r="B24" s="10" t="s">
        <v>49</v>
      </c>
      <c r="C24" s="13">
        <f>_xll.BDH("AAPL US Equity","GROSS_MARGIN","FY 2018","FY 2018","Currency=USD","Period=FY","BEST_FPERIOD_OVERRIDE=FY","FILING_STATUS=MR","FA_ADJUSTED=GAAP","Sort=A","Dates=H","DateFormat=P","Fill=—","Direction=H","UseDPDF=Y")</f>
        <v>38.343699999999998</v>
      </c>
      <c r="D24" s="13">
        <f>_xll.BDH("AAPL US Equity","GROSS_MARGIN","FY 2019","FY 2019","Currency=USD","Period=FY","BEST_FPERIOD_OVERRIDE=FY","FILING_STATUS=MR","FA_ADJUSTED=GAAP","Sort=A","Dates=H","DateFormat=P","Fill=—","Direction=H","UseDPDF=Y")</f>
        <v>37.817799999999998</v>
      </c>
      <c r="E24" s="13">
        <f>_xll.BDH("AAPL US Equity","GROSS_MARGIN","FY 2020","FY 2020","Currency=USD","Period=FY","BEST_FPERIOD_OVERRIDE=FY","FILING_STATUS=MR","FA_ADJUSTED=GAAP","Sort=A","Dates=H","DateFormat=P","Fill=—","Direction=H","UseDPDF=Y")</f>
        <v>38.233199999999997</v>
      </c>
      <c r="F24" s="13">
        <f>_xll.BDH("AAPL US Equity","GROSS_MARGIN","FY 2021","FY 2021","Currency=USD","Period=FY","BEST_FPERIOD_OVERRIDE=FY","FILING_STATUS=MR","FA_ADJUSTED=GAAP","Sort=A","Dates=H","DateFormat=P","Fill=—","Direction=H","UseDPDF=Y")</f>
        <v>41.779400000000003</v>
      </c>
      <c r="G24" s="13">
        <f>_xll.BDH("AAPL US Equity","GROSS_MARGIN","FY 2022","FY 2022","Currency=USD","Period=FY","BEST_FPERIOD_OVERRIDE=FY","FILING_STATUS=MR","FA_ADJUSTED=GAAP","Sort=A","Dates=H","DateFormat=P","Fill=—","Direction=H","UseDPDF=Y")</f>
        <v>43.309600000000003</v>
      </c>
      <c r="H24" s="13">
        <f>_xll.BDH("AAPL US Equity","GROSS_MARGIN","FY 2023","FY 2023","Currency=USD","Period=FY","BEST_FPERIOD_OVERRIDE=FY","FILING_STATUS=MR","FA_ADJUSTED=GAAP","Sort=A","Dates=H","DateFormat=P","Fill=—","Direction=H","UseDPDF=Y")</f>
        <v>44.131100000000004</v>
      </c>
      <c r="I24" s="13">
        <f>_xll.BDH("AAPL US Equity","GROSS_MARGIN","FY 2024","FY 2024","Currency=USD","Period=FY","BEST_FPERIOD_OVERRIDE=FY","FILING_STATUS=MR","FA_ADJUSTED=GAAP","Sort=A","Dates=H","DateFormat=P","Fill=—","Direction=H","UseDPDF=Y")</f>
        <v>46.206299999999999</v>
      </c>
      <c r="J24" s="15">
        <v>46.678250229428002</v>
      </c>
      <c r="K24" s="13"/>
      <c r="L24" s="13"/>
    </row>
    <row r="25" spans="1:12" x14ac:dyDescent="0.25">
      <c r="A25" s="10" t="s">
        <v>50</v>
      </c>
      <c r="B25" s="10" t="s">
        <v>51</v>
      </c>
      <c r="C25" s="12">
        <f>_xll.BDH("AAPL US Equity","IS_OPER_INC","FY 2018","FY 2018","Currency=USD","Period=FY","BEST_FPERIOD_OVERRIDE=FY","FILING_STATUS=MR","SCALING_FORMAT=MLN","FA_ADJUSTED=GAAP","Sort=A","Dates=H","DateFormat=P","Fill=—","Direction=H","UseDPDF=Y")</f>
        <v>70898</v>
      </c>
      <c r="D25" s="12">
        <f>_xll.BDH("AAPL US Equity","IS_OPER_INC","FY 2019","FY 2019","Currency=USD","Period=FY","BEST_FPERIOD_OVERRIDE=FY","FILING_STATUS=MR","SCALING_FORMAT=MLN","FA_ADJUSTED=GAAP","Sort=A","Dates=H","DateFormat=P","Fill=—","Direction=H","UseDPDF=Y")</f>
        <v>63930</v>
      </c>
      <c r="E25" s="12">
        <f>_xll.BDH("AAPL US Equity","IS_OPER_INC","FY 2020","FY 2020","Currency=USD","Period=FY","BEST_FPERIOD_OVERRIDE=FY","FILING_STATUS=MR","SCALING_FORMAT=MLN","FA_ADJUSTED=GAAP","Sort=A","Dates=H","DateFormat=P","Fill=—","Direction=H","UseDPDF=Y")</f>
        <v>66288</v>
      </c>
      <c r="F25" s="12">
        <f>_xll.BDH("AAPL US Equity","IS_OPER_INC","FY 2021","FY 2021","Currency=USD","Period=FY","BEST_FPERIOD_OVERRIDE=FY","FILING_STATUS=MR","SCALING_FORMAT=MLN","FA_ADJUSTED=GAAP","Sort=A","Dates=H","DateFormat=P","Fill=—","Direction=H","UseDPDF=Y")</f>
        <v>108949</v>
      </c>
      <c r="G25" s="12">
        <f>_xll.BDH("AAPL US Equity","IS_OPER_INC","FY 2022","FY 2022","Currency=USD","Period=FY","BEST_FPERIOD_OVERRIDE=FY","FILING_STATUS=MR","SCALING_FORMAT=MLN","FA_ADJUSTED=GAAP","Sort=A","Dates=H","DateFormat=P","Fill=—","Direction=H","UseDPDF=Y")</f>
        <v>119437</v>
      </c>
      <c r="H25" s="12">
        <f>_xll.BDH("AAPL US Equity","IS_OPER_INC","FY 2023","FY 2023","Currency=USD","Period=FY","BEST_FPERIOD_OVERRIDE=FY","FILING_STATUS=MR","SCALING_FORMAT=MLN","FA_ADJUSTED=GAAP","Sort=A","Dates=H","DateFormat=P","Fill=—","Direction=H","UseDPDF=Y")</f>
        <v>114301</v>
      </c>
      <c r="I25" s="12">
        <f>_xll.BDH("AAPL US Equity","IS_OPER_INC","FY 2024","FY 2024","Currency=USD","Period=FY","BEST_FPERIOD_OVERRIDE=FY","FILING_STATUS=MR","SCALING_FORMAT=MLN","FA_ADJUSTED=GAAP","Sort=A","Dates=H","DateFormat=P","Fill=—","Direction=H","UseDPDF=Y")</f>
        <v>123216</v>
      </c>
      <c r="J25" s="14">
        <v>130214</v>
      </c>
      <c r="K25" s="12">
        <v>131768</v>
      </c>
      <c r="L25" s="12">
        <v>139027.77799999999</v>
      </c>
    </row>
    <row r="26" spans="1:12" x14ac:dyDescent="0.25">
      <c r="A26" s="10" t="s">
        <v>52</v>
      </c>
      <c r="B26" s="10" t="s">
        <v>53</v>
      </c>
      <c r="C26" s="13">
        <f>_xll.BDH("AAPL US Equity","OPER_MARGIN","FY 2018","FY 2018","Currency=USD","Period=FY","BEST_FPERIOD_OVERRIDE=FY","FILING_STATUS=MR","FA_ADJUSTED=GAAP","Sort=A","Dates=H","DateFormat=P","Fill=—","Direction=H","UseDPDF=Y")</f>
        <v>26.693999999999999</v>
      </c>
      <c r="D26" s="13">
        <f>_xll.BDH("AAPL US Equity","OPER_MARGIN","FY 2019","FY 2019","Currency=USD","Period=FY","BEST_FPERIOD_OVERRIDE=FY","FILING_STATUS=MR","FA_ADJUSTED=GAAP","Sort=A","Dates=H","DateFormat=P","Fill=—","Direction=H","UseDPDF=Y")</f>
        <v>24.571999999999999</v>
      </c>
      <c r="E26" s="13">
        <f>_xll.BDH("AAPL US Equity","OPER_MARGIN","FY 2020","FY 2020","Currency=USD","Period=FY","BEST_FPERIOD_OVERRIDE=FY","FILING_STATUS=MR","FA_ADJUSTED=GAAP","Sort=A","Dates=H","DateFormat=P","Fill=—","Direction=H","UseDPDF=Y")</f>
        <v>24.147300000000001</v>
      </c>
      <c r="F26" s="13">
        <f>_xll.BDH("AAPL US Equity","OPER_MARGIN","FY 2021","FY 2021","Currency=USD","Period=FY","BEST_FPERIOD_OVERRIDE=FY","FILING_STATUS=MR","FA_ADJUSTED=GAAP","Sort=A","Dates=H","DateFormat=P","Fill=—","Direction=H","UseDPDF=Y")</f>
        <v>29.782399999999999</v>
      </c>
      <c r="G26" s="13">
        <f>_xll.BDH("AAPL US Equity","OPER_MARGIN","FY 2022","FY 2022","Currency=USD","Period=FY","BEST_FPERIOD_OVERRIDE=FY","FILING_STATUS=MR","FA_ADJUSTED=GAAP","Sort=A","Dates=H","DateFormat=P","Fill=—","Direction=H","UseDPDF=Y")</f>
        <v>30.288699999999999</v>
      </c>
      <c r="H26" s="13">
        <f>_xll.BDH("AAPL US Equity","OPER_MARGIN","FY 2023","FY 2023","Currency=USD","Period=FY","BEST_FPERIOD_OVERRIDE=FY","FILING_STATUS=MR","FA_ADJUSTED=GAAP","Sort=A","Dates=H","DateFormat=P","Fill=—","Direction=H","UseDPDF=Y")</f>
        <v>29.821400000000001</v>
      </c>
      <c r="I26" s="13">
        <f>_xll.BDH("AAPL US Equity","OPER_MARGIN","FY 2024","FY 2024","Currency=USD","Period=FY","BEST_FPERIOD_OVERRIDE=FY","FILING_STATUS=MR","FA_ADJUSTED=GAAP","Sort=A","Dates=H","DateFormat=P","Fill=—","Direction=H","UseDPDF=Y")</f>
        <v>31.510200000000001</v>
      </c>
      <c r="J26" s="15">
        <v>31.866381156316901</v>
      </c>
      <c r="K26" s="13">
        <v>31.791901496602399</v>
      </c>
      <c r="L26" s="13">
        <v>31.798699846733001</v>
      </c>
    </row>
    <row r="27" spans="1:12" x14ac:dyDescent="0.25">
      <c r="A27" s="10" t="s">
        <v>54</v>
      </c>
      <c r="B27" s="10" t="s">
        <v>54</v>
      </c>
      <c r="C27" s="12">
        <f>_xll.BDH("AAPL US Equity","EBITDA","FY 2018","FY 2018","Currency=USD","Period=FY","BEST_FPERIOD_OVERRIDE=FY","FILING_STATUS=MR","SCALING_FORMAT=MLN","FA_ADJUSTED=GAAP","Sort=A","Dates=H","DateFormat=P","Fill=—","Direction=H","UseDPDF=Y")</f>
        <v>81801</v>
      </c>
      <c r="D27" s="12">
        <f>_xll.BDH("AAPL US Equity","EBITDA","FY 2019","FY 2019","Currency=USD","Period=FY","BEST_FPERIOD_OVERRIDE=FY","FILING_STATUS=MR","SCALING_FORMAT=MLN","FA_ADJUSTED=GAAP","Sort=A","Dates=H","DateFormat=P","Fill=—","Direction=H","UseDPDF=Y")</f>
        <v>76477</v>
      </c>
      <c r="E27" s="12">
        <f>_xll.BDH("AAPL US Equity","EBITDA","FY 2020","FY 2020","Currency=USD","Period=FY","BEST_FPERIOD_OVERRIDE=FY","FILING_STATUS=MR","SCALING_FORMAT=MLN","FA_ADJUSTED=GAAP","Sort=A","Dates=H","DateFormat=P","Fill=—","Direction=H","UseDPDF=Y")</f>
        <v>78844</v>
      </c>
      <c r="F27" s="12">
        <f>_xll.BDH("AAPL US Equity","EBITDA","FY 2021","FY 2021","Currency=USD","Period=FY","BEST_FPERIOD_OVERRIDE=FY","FILING_STATUS=MR","SCALING_FORMAT=MLN","FA_ADJUSTED=GAAP","Sort=A","Dates=H","DateFormat=P","Fill=—","Direction=H","UseDPDF=Y")</f>
        <v>121933</v>
      </c>
      <c r="G27" s="12">
        <f>_xll.BDH("AAPL US Equity","EBITDA","FY 2022","FY 2022","Currency=USD","Period=FY","BEST_FPERIOD_OVERRIDE=FY","FILING_STATUS=MR","SCALING_FORMAT=MLN","FA_ADJUSTED=GAAP","Sort=A","Dates=H","DateFormat=P","Fill=—","Direction=H","UseDPDF=Y")</f>
        <v>132441</v>
      </c>
      <c r="H27" s="12">
        <f>_xll.BDH("AAPL US Equity","EBITDA","FY 2023","FY 2023","Currency=USD","Period=FY","BEST_FPERIOD_OVERRIDE=FY","FILING_STATUS=MR","SCALING_FORMAT=MLN","FA_ADJUSTED=GAAP","Sort=A","Dates=H","DateFormat=P","Fill=—","Direction=H","UseDPDF=Y")</f>
        <v>127820</v>
      </c>
      <c r="I27" s="12">
        <f>_xll.BDH("AAPL US Equity","EBITDA","FY 2024","FY 2024","Currency=USD","Period=FY","BEST_FPERIOD_OVERRIDE=FY","FILING_STATUS=MR","SCALING_FORMAT=MLN","FA_ADJUSTED=GAAP","Sort=A","Dates=H","DateFormat=P","Fill=—","Direction=H","UseDPDF=Y")</f>
        <v>136661</v>
      </c>
      <c r="J27" s="14">
        <v>141696</v>
      </c>
      <c r="K27" s="12">
        <v>145125.935</v>
      </c>
      <c r="L27" s="12">
        <v>153454.6</v>
      </c>
    </row>
    <row r="28" spans="1:12" x14ac:dyDescent="0.25">
      <c r="A28" s="11" t="s">
        <v>43</v>
      </c>
      <c r="B28" s="11" t="s">
        <v>54</v>
      </c>
      <c r="C28" s="18">
        <v>14.405393</v>
      </c>
      <c r="D28" s="18">
        <v>-6.5084780000000002</v>
      </c>
      <c r="E28" s="18">
        <v>3.0950479999999998</v>
      </c>
      <c r="F28" s="18">
        <v>54.650956000000001</v>
      </c>
      <c r="G28" s="18">
        <v>8.6178480000000004</v>
      </c>
      <c r="H28" s="18">
        <v>-3.4891009999999998</v>
      </c>
      <c r="I28" s="18">
        <v>6.9167579999999997</v>
      </c>
      <c r="J28" s="19">
        <v>7.5238463814965701</v>
      </c>
      <c r="K28" s="18">
        <v>6.1941117070707801</v>
      </c>
      <c r="L28" s="18">
        <v>5.7389225433758702</v>
      </c>
    </row>
    <row r="29" spans="1:12" x14ac:dyDescent="0.25">
      <c r="A29" s="11" t="s">
        <v>46</v>
      </c>
      <c r="B29" s="11" t="s">
        <v>54</v>
      </c>
      <c r="C29" s="18">
        <v>14.4053929315674</v>
      </c>
      <c r="D29" s="18">
        <v>-6.5084778914683197</v>
      </c>
      <c r="E29" s="18">
        <v>3.0950481844214601</v>
      </c>
      <c r="F29" s="18">
        <v>54.650956318806799</v>
      </c>
      <c r="G29" s="18">
        <v>8.6178475064174602</v>
      </c>
      <c r="H29" s="18">
        <v>-3.4891008071518601</v>
      </c>
      <c r="I29" s="18">
        <v>6.91675794085433</v>
      </c>
      <c r="J29" s="19">
        <v>3.6842991050848499</v>
      </c>
      <c r="K29" s="18">
        <v>6.1941117070707801</v>
      </c>
      <c r="L29" s="18">
        <v>5.7389225433758702</v>
      </c>
    </row>
    <row r="30" spans="1:12" x14ac:dyDescent="0.25">
      <c r="A30" s="10" t="s">
        <v>55</v>
      </c>
      <c r="B30" s="10" t="s">
        <v>56</v>
      </c>
      <c r="C30" s="12">
        <f>_xll.BDH("AAPL US Equity","NET_INCOME","FY 2018","FY 2018","Currency=USD","Period=FY","BEST_FPERIOD_OVERRIDE=FY","FILING_STATUS=MR","SCALING_FORMAT=MLN","FA_ADJUSTED=GAAP","Sort=A","Dates=H","DateFormat=P","Fill=—","Direction=H","UseDPDF=Y")</f>
        <v>59531</v>
      </c>
      <c r="D30" s="12">
        <f>_xll.BDH("AAPL US Equity","NET_INCOME","FY 2019","FY 2019","Currency=USD","Period=FY","BEST_FPERIOD_OVERRIDE=FY","FILING_STATUS=MR","SCALING_FORMAT=MLN","FA_ADJUSTED=GAAP","Sort=A","Dates=H","DateFormat=P","Fill=—","Direction=H","UseDPDF=Y")</f>
        <v>55256</v>
      </c>
      <c r="E30" s="12">
        <f>_xll.BDH("AAPL US Equity","NET_INCOME","FY 2020","FY 2020","Currency=USD","Period=FY","BEST_FPERIOD_OVERRIDE=FY","FILING_STATUS=MR","SCALING_FORMAT=MLN","FA_ADJUSTED=GAAP","Sort=A","Dates=H","DateFormat=P","Fill=—","Direction=H","UseDPDF=Y")</f>
        <v>57411</v>
      </c>
      <c r="F30" s="12">
        <f>_xll.BDH("AAPL US Equity","NET_INCOME","FY 2021","FY 2021","Currency=USD","Period=FY","BEST_FPERIOD_OVERRIDE=FY","FILING_STATUS=MR","SCALING_FORMAT=MLN","FA_ADJUSTED=GAAP","Sort=A","Dates=H","DateFormat=P","Fill=—","Direction=H","UseDPDF=Y")</f>
        <v>94680</v>
      </c>
      <c r="G30" s="12">
        <f>_xll.BDH("AAPL US Equity","NET_INCOME","FY 2022","FY 2022","Currency=USD","Period=FY","BEST_FPERIOD_OVERRIDE=FY","FILING_STATUS=MR","SCALING_FORMAT=MLN","FA_ADJUSTED=GAAP","Sort=A","Dates=H","DateFormat=P","Fill=—","Direction=H","UseDPDF=Y")</f>
        <v>99803</v>
      </c>
      <c r="H30" s="12">
        <f>_xll.BDH("AAPL US Equity","NET_INCOME","FY 2023","FY 2023","Currency=USD","Period=FY","BEST_FPERIOD_OVERRIDE=FY","FILING_STATUS=MR","SCALING_FORMAT=MLN","FA_ADJUSTED=GAAP","Sort=A","Dates=H","DateFormat=P","Fill=—","Direction=H","UseDPDF=Y")</f>
        <v>96995</v>
      </c>
      <c r="I30" s="12">
        <f>_xll.BDH("AAPL US Equity","NET_INCOME","FY 2024","FY 2024","Currency=USD","Period=FY","BEST_FPERIOD_OVERRIDE=FY","FILING_STATUS=MR","SCALING_FORMAT=MLN","FA_ADJUSTED=GAAP","Sort=A","Dates=H","DateFormat=P","Fill=—","Direction=H","UseDPDF=Y")</f>
        <v>93736</v>
      </c>
      <c r="J30" s="14">
        <v>99280</v>
      </c>
      <c r="K30" s="12">
        <v>110571.73699999999</v>
      </c>
      <c r="L30" s="12">
        <v>116546.08100000001</v>
      </c>
    </row>
    <row r="31" spans="1:12" x14ac:dyDescent="0.25">
      <c r="A31" s="11" t="s">
        <v>43</v>
      </c>
      <c r="B31" s="11" t="s">
        <v>56</v>
      </c>
      <c r="C31" s="18">
        <v>23.122582999999999</v>
      </c>
      <c r="D31" s="18">
        <v>-7.181133</v>
      </c>
      <c r="E31" s="18">
        <v>3.900029</v>
      </c>
      <c r="F31" s="18">
        <v>64.916130999999993</v>
      </c>
      <c r="G31" s="18">
        <v>5.4108580000000002</v>
      </c>
      <c r="H31" s="18">
        <v>-2.8135430000000001</v>
      </c>
      <c r="I31" s="18">
        <v>-3.3599670000000001</v>
      </c>
      <c r="J31" s="19">
        <v>-2.6246616187374898</v>
      </c>
      <c r="K31" s="18">
        <v>17.9608016130409</v>
      </c>
      <c r="L31" s="18">
        <v>5.40313841682707</v>
      </c>
    </row>
    <row r="32" spans="1:12" x14ac:dyDescent="0.25">
      <c r="A32" s="11" t="s">
        <v>46</v>
      </c>
      <c r="B32" s="11" t="s">
        <v>56</v>
      </c>
      <c r="C32" s="18">
        <v>23.122582780087299</v>
      </c>
      <c r="D32" s="18">
        <v>-7.1811325191916797</v>
      </c>
      <c r="E32" s="18">
        <v>3.9000289561314601</v>
      </c>
      <c r="F32" s="18">
        <v>64.916131055024294</v>
      </c>
      <c r="G32" s="18">
        <v>5.4108576256865204</v>
      </c>
      <c r="H32" s="18">
        <v>-2.8135426790777802</v>
      </c>
      <c r="I32" s="18">
        <v>-3.3599670086086899</v>
      </c>
      <c r="J32" s="19">
        <v>5.9144832294956</v>
      </c>
      <c r="K32" s="18">
        <v>17.9608016130409</v>
      </c>
      <c r="L32" s="18">
        <v>5.40313841682707</v>
      </c>
    </row>
    <row r="33" spans="1:12" x14ac:dyDescent="0.25">
      <c r="A33" s="10" t="s">
        <v>57</v>
      </c>
      <c r="B33" s="10" t="s">
        <v>58</v>
      </c>
      <c r="C33" s="13">
        <f>_xll.BDH("AAPL US Equity","PROF_MARGIN","FY 2018","FY 2018","Currency=USD","Period=FY","BEST_FPERIOD_OVERRIDE=FY","FILING_STATUS=MR","FA_ADJUSTED=GAAP","Sort=A","Dates=H","DateFormat=P","Fill=—","Direction=H","UseDPDF=Y")</f>
        <v>22.414200000000001</v>
      </c>
      <c r="D33" s="13">
        <f>_xll.BDH("AAPL US Equity","PROF_MARGIN","FY 2019","FY 2019","Currency=USD","Period=FY","BEST_FPERIOD_OVERRIDE=FY","FILING_STATUS=MR","FA_ADJUSTED=GAAP","Sort=A","Dates=H","DateFormat=P","Fill=—","Direction=H","UseDPDF=Y")</f>
        <v>21.238099999999999</v>
      </c>
      <c r="E33" s="13">
        <f>_xll.BDH("AAPL US Equity","PROF_MARGIN","FY 2020","FY 2020","Currency=USD","Period=FY","BEST_FPERIOD_OVERRIDE=FY","FILING_STATUS=MR","FA_ADJUSTED=GAAP","Sort=A","Dates=H","DateFormat=P","Fill=—","Direction=H","UseDPDF=Y")</f>
        <v>20.913599999999999</v>
      </c>
      <c r="F33" s="13">
        <f>_xll.BDH("AAPL US Equity","PROF_MARGIN","FY 2021","FY 2021","Currency=USD","Period=FY","BEST_FPERIOD_OVERRIDE=FY","FILING_STATUS=MR","FA_ADJUSTED=GAAP","Sort=A","Dates=H","DateFormat=P","Fill=—","Direction=H","UseDPDF=Y")</f>
        <v>25.881799999999998</v>
      </c>
      <c r="G33" s="13">
        <f>_xll.BDH("AAPL US Equity","PROF_MARGIN","FY 2022","FY 2022","Currency=USD","Period=FY","BEST_FPERIOD_OVERRIDE=FY","FILING_STATUS=MR","FA_ADJUSTED=GAAP","Sort=A","Dates=H","DateFormat=P","Fill=—","Direction=H","UseDPDF=Y")</f>
        <v>25.3096</v>
      </c>
      <c r="H33" s="13">
        <f>_xll.BDH("AAPL US Equity","PROF_MARGIN","FY 2023","FY 2023","Currency=USD","Period=FY","BEST_FPERIOD_OVERRIDE=FY","FILING_STATUS=MR","FA_ADJUSTED=GAAP","Sort=A","Dates=H","DateFormat=P","Fill=—","Direction=H","UseDPDF=Y")</f>
        <v>25.3062</v>
      </c>
      <c r="I33" s="13">
        <f>_xll.BDH("AAPL US Equity","PROF_MARGIN","FY 2024","FY 2024","Currency=USD","Period=FY","BEST_FPERIOD_OVERRIDE=FY","FILING_STATUS=MR","FA_ADJUSTED=GAAP","Sort=A","Dates=H","DateFormat=P","Fill=—","Direction=H","UseDPDF=Y")</f>
        <v>23.971299999999999</v>
      </c>
      <c r="J33" s="15">
        <v>24.2961150198838</v>
      </c>
      <c r="K33" s="13">
        <v>26.677841137546501</v>
      </c>
      <c r="L33" s="13">
        <v>26.656643020159802</v>
      </c>
    </row>
    <row r="34" spans="1:12" x14ac:dyDescent="0.25">
      <c r="A34" s="10" t="s">
        <v>59</v>
      </c>
      <c r="B34" s="10" t="s">
        <v>60</v>
      </c>
      <c r="C34" s="13">
        <f>_xll.BDH("AAPL US Equity","IS_EPS","FY 2018","FY 2018","Currency=USD","Period=FY","BEST_FPERIOD_OVERRIDE=FY","FILING_STATUS=MR","FA_ADJUSTED=GAAP","Sort=A","Dates=H","DateFormat=P","Fill=—","Direction=H","UseDPDF=Y")</f>
        <v>3.0024999999999999</v>
      </c>
      <c r="D34" s="13">
        <f>_xll.BDH("AAPL US Equity","IS_EPS","FY 2019","FY 2019","Currency=USD","Period=FY","BEST_FPERIOD_OVERRIDE=FY","FILING_STATUS=MR","FA_ADJUSTED=GAAP","Sort=A","Dates=H","DateFormat=P","Fill=—","Direction=H","UseDPDF=Y")</f>
        <v>2.99</v>
      </c>
      <c r="E34" s="13">
        <f>_xll.BDH("AAPL US Equity","IS_EPS","FY 2020","FY 2020","Currency=USD","Period=FY","BEST_FPERIOD_OVERRIDE=FY","FILING_STATUS=MR","FA_ADJUSTED=GAAP","Sort=A","Dates=H","DateFormat=P","Fill=—","Direction=H","UseDPDF=Y")</f>
        <v>3.31</v>
      </c>
      <c r="F34" s="13">
        <f>_xll.BDH("AAPL US Equity","IS_EPS","FY 2021","FY 2021","Currency=USD","Period=FY","BEST_FPERIOD_OVERRIDE=FY","FILING_STATUS=MR","FA_ADJUSTED=GAAP","Sort=A","Dates=H","DateFormat=P","Fill=—","Direction=H","UseDPDF=Y")</f>
        <v>5.67</v>
      </c>
      <c r="G34" s="13">
        <f>_xll.BDH("AAPL US Equity","IS_EPS","FY 2022","FY 2022","Currency=USD","Period=FY","BEST_FPERIOD_OVERRIDE=FY","FILING_STATUS=MR","FA_ADJUSTED=GAAP","Sort=A","Dates=H","DateFormat=P","Fill=—","Direction=H","UseDPDF=Y")</f>
        <v>6.15</v>
      </c>
      <c r="H34" s="13">
        <f>_xll.BDH("AAPL US Equity","IS_EPS","FY 2023","FY 2023","Currency=USD","Period=FY","BEST_FPERIOD_OVERRIDE=FY","FILING_STATUS=MR","FA_ADJUSTED=GAAP","Sort=A","Dates=H","DateFormat=P","Fill=—","Direction=H","UseDPDF=Y")</f>
        <v>6.16</v>
      </c>
      <c r="I34" s="13">
        <f>_xll.BDH("AAPL US Equity","IS_EPS","FY 2024","FY 2024","Currency=USD","Period=FY","BEST_FPERIOD_OVERRIDE=FY","FILING_STATUS=MR","FA_ADJUSTED=GAAP","Sort=A","Dates=H","DateFormat=P","Fill=—","Direction=H","UseDPDF=Y")</f>
        <v>6.11</v>
      </c>
      <c r="J34" s="15">
        <v>6.6</v>
      </c>
      <c r="K34" s="13">
        <v>7.3620000000000001</v>
      </c>
      <c r="L34" s="13">
        <v>7.8639999999999999</v>
      </c>
    </row>
    <row r="35" spans="1:12" x14ac:dyDescent="0.25">
      <c r="A35" s="6"/>
      <c r="B35" s="16"/>
      <c r="C35" s="16"/>
      <c r="D35" s="16"/>
      <c r="E35" s="16"/>
      <c r="F35" s="16"/>
      <c r="G35" s="16"/>
      <c r="H35" s="16"/>
      <c r="I35" s="16"/>
      <c r="J35" s="17"/>
      <c r="K35" s="16"/>
      <c r="L35" s="16"/>
    </row>
    <row r="36" spans="1:12" x14ac:dyDescent="0.25">
      <c r="A36" s="6" t="s">
        <v>61</v>
      </c>
      <c r="B36" s="16"/>
      <c r="C36" s="16"/>
      <c r="D36" s="16"/>
      <c r="E36" s="16"/>
      <c r="F36" s="16"/>
      <c r="G36" s="16"/>
      <c r="H36" s="16"/>
      <c r="I36" s="16"/>
      <c r="J36" s="17"/>
      <c r="K36" s="16"/>
      <c r="L36" s="16"/>
    </row>
    <row r="37" spans="1:12" x14ac:dyDescent="0.25">
      <c r="A37" s="10" t="s">
        <v>62</v>
      </c>
      <c r="B37" s="10" t="s">
        <v>63</v>
      </c>
      <c r="C37" s="12">
        <f>_xll.BDH("AAPL US Equity","CF_CASH_FROM_OPER","FY 2018","FY 2018","Currency=USD","Period=FY","BEST_FPERIOD_OVERRIDE=FY","FILING_STATUS=MR","SCALING_FORMAT=MLN","Sort=A","Dates=H","DateFormat=P","Fill=—","Direction=H","UseDPDF=Y")</f>
        <v>77434</v>
      </c>
      <c r="D37" s="12">
        <f>_xll.BDH("AAPL US Equity","CF_CASH_FROM_OPER","FY 2019","FY 2019","Currency=USD","Period=FY","BEST_FPERIOD_OVERRIDE=FY","FILING_STATUS=MR","SCALING_FORMAT=MLN","Sort=A","Dates=H","DateFormat=P","Fill=—","Direction=H","UseDPDF=Y")</f>
        <v>69391</v>
      </c>
      <c r="E37" s="12">
        <f>_xll.BDH("AAPL US Equity","CF_CASH_FROM_OPER","FY 2020","FY 2020","Currency=USD","Period=FY","BEST_FPERIOD_OVERRIDE=FY","FILING_STATUS=MR","SCALING_FORMAT=MLN","Sort=A","Dates=H","DateFormat=P","Fill=—","Direction=H","UseDPDF=Y")</f>
        <v>80674</v>
      </c>
      <c r="F37" s="12">
        <f>_xll.BDH("AAPL US Equity","CF_CASH_FROM_OPER","FY 2021","FY 2021","Currency=USD","Period=FY","BEST_FPERIOD_OVERRIDE=FY","FILING_STATUS=MR","SCALING_FORMAT=MLN","Sort=A","Dates=H","DateFormat=P","Fill=—","Direction=H","UseDPDF=Y")</f>
        <v>104038</v>
      </c>
      <c r="G37" s="12">
        <f>_xll.BDH("AAPL US Equity","CF_CASH_FROM_OPER","FY 2022","FY 2022","Currency=USD","Period=FY","BEST_FPERIOD_OVERRIDE=FY","FILING_STATUS=MR","SCALING_FORMAT=MLN","Sort=A","Dates=H","DateFormat=P","Fill=—","Direction=H","UseDPDF=Y")</f>
        <v>122151</v>
      </c>
      <c r="H37" s="12">
        <f>_xll.BDH("AAPL US Equity","CF_CASH_FROM_OPER","FY 2023","FY 2023","Currency=USD","Period=FY","BEST_FPERIOD_OVERRIDE=FY","FILING_STATUS=MR","SCALING_FORMAT=MLN","Sort=A","Dates=H","DateFormat=P","Fill=—","Direction=H","UseDPDF=Y")</f>
        <v>110543</v>
      </c>
      <c r="I37" s="12">
        <f>_xll.BDH("AAPL US Equity","CF_CASH_FROM_OPER","FY 2024","FY 2024","Currency=USD","Period=FY","BEST_FPERIOD_OVERRIDE=FY","FILING_STATUS=MR","SCALING_FORMAT=MLN","Sort=A","Dates=H","DateFormat=P","Fill=—","Direction=H","UseDPDF=Y")</f>
        <v>118254</v>
      </c>
      <c r="J37" s="14">
        <v>108565</v>
      </c>
      <c r="K37" s="12"/>
      <c r="L37" s="12"/>
    </row>
    <row r="38" spans="1:12" x14ac:dyDescent="0.25">
      <c r="A38" s="10" t="s">
        <v>64</v>
      </c>
      <c r="B38" s="10" t="s">
        <v>65</v>
      </c>
      <c r="C38" s="12">
        <f>_xll.BDH("AAPL US Equity","CAPITAL_EXPEND","FY 2018","FY 2018","Currency=USD","Period=FY","BEST_FPERIOD_OVERRIDE=FY","FILING_STATUS=MR","SCALING_FORMAT=MLN","Sort=A","Dates=H","DateFormat=P","Fill=—","Direction=H","UseDPDF=Y")</f>
        <v>-13313</v>
      </c>
      <c r="D38" s="12">
        <f>_xll.BDH("AAPL US Equity","CAPITAL_EXPEND","FY 2019","FY 2019","Currency=USD","Period=FY","BEST_FPERIOD_OVERRIDE=FY","FILING_STATUS=MR","SCALING_FORMAT=MLN","Sort=A","Dates=H","DateFormat=P","Fill=—","Direction=H","UseDPDF=Y")</f>
        <v>-10495</v>
      </c>
      <c r="E38" s="12">
        <f>_xll.BDH("AAPL US Equity","CAPITAL_EXPEND","FY 2020","FY 2020","Currency=USD","Period=FY","BEST_FPERIOD_OVERRIDE=FY","FILING_STATUS=MR","SCALING_FORMAT=MLN","Sort=A","Dates=H","DateFormat=P","Fill=—","Direction=H","UseDPDF=Y")</f>
        <v>-7309</v>
      </c>
      <c r="F38" s="12">
        <f>_xll.BDH("AAPL US Equity","CAPITAL_EXPEND","FY 2021","FY 2021","Currency=USD","Period=FY","BEST_FPERIOD_OVERRIDE=FY","FILING_STATUS=MR","SCALING_FORMAT=MLN","Sort=A","Dates=H","DateFormat=P","Fill=—","Direction=H","UseDPDF=Y")</f>
        <v>-11085</v>
      </c>
      <c r="G38" s="12">
        <f>_xll.BDH("AAPL US Equity","CAPITAL_EXPEND","FY 2022","FY 2022","Currency=USD","Period=FY","BEST_FPERIOD_OVERRIDE=FY","FILING_STATUS=MR","SCALING_FORMAT=MLN","Sort=A","Dates=H","DateFormat=P","Fill=—","Direction=H","UseDPDF=Y")</f>
        <v>-10708</v>
      </c>
      <c r="H38" s="12">
        <f>_xll.BDH("AAPL US Equity","CAPITAL_EXPEND","FY 2023","FY 2023","Currency=USD","Period=FY","BEST_FPERIOD_OVERRIDE=FY","FILING_STATUS=MR","SCALING_FORMAT=MLN","Sort=A","Dates=H","DateFormat=P","Fill=—","Direction=H","UseDPDF=Y")</f>
        <v>-10959</v>
      </c>
      <c r="I38" s="12">
        <f>_xll.BDH("AAPL US Equity","CAPITAL_EXPEND","FY 2024","FY 2024","Currency=USD","Period=FY","BEST_FPERIOD_OVERRIDE=FY","FILING_STATUS=MR","SCALING_FORMAT=MLN","Sort=A","Dates=H","DateFormat=P","Fill=—","Direction=H","UseDPDF=Y")</f>
        <v>-9447</v>
      </c>
      <c r="J38" s="14">
        <v>-12381</v>
      </c>
      <c r="K38" s="12">
        <v>-12563.962</v>
      </c>
      <c r="L38" s="12">
        <v>-15077.852000000001</v>
      </c>
    </row>
    <row r="39" spans="1:12" x14ac:dyDescent="0.25">
      <c r="A39" s="10" t="s">
        <v>66</v>
      </c>
      <c r="B39" s="10" t="s">
        <v>67</v>
      </c>
      <c r="C39" s="12">
        <f>_xll.BDH("AAPL US Equity","CF_FREE_CASH_FLOW","FY 2018","FY 2018","Currency=USD","Period=FY","BEST_FPERIOD_OVERRIDE=FY","FILING_STATUS=MR","SCALING_FORMAT=MLN","Sort=A","Dates=H","DateFormat=P","Fill=—","Direction=H","UseDPDF=Y")</f>
        <v>64121</v>
      </c>
      <c r="D39" s="12">
        <f>_xll.BDH("AAPL US Equity","CF_FREE_CASH_FLOW","FY 2019","FY 2019","Currency=USD","Period=FY","BEST_FPERIOD_OVERRIDE=FY","FILING_STATUS=MR","SCALING_FORMAT=MLN","Sort=A","Dates=H","DateFormat=P","Fill=—","Direction=H","UseDPDF=Y")</f>
        <v>58896</v>
      </c>
      <c r="E39" s="12">
        <f>_xll.BDH("AAPL US Equity","CF_FREE_CASH_FLOW","FY 2020","FY 2020","Currency=USD","Period=FY","BEST_FPERIOD_OVERRIDE=FY","FILING_STATUS=MR","SCALING_FORMAT=MLN","Sort=A","Dates=H","DateFormat=P","Fill=—","Direction=H","UseDPDF=Y")</f>
        <v>73365</v>
      </c>
      <c r="F39" s="12">
        <f>_xll.BDH("AAPL US Equity","CF_FREE_CASH_FLOW","FY 2021","FY 2021","Currency=USD","Period=FY","BEST_FPERIOD_OVERRIDE=FY","FILING_STATUS=MR","SCALING_FORMAT=MLN","Sort=A","Dates=H","DateFormat=P","Fill=—","Direction=H","UseDPDF=Y")</f>
        <v>92953</v>
      </c>
      <c r="G39" s="12">
        <f>_xll.BDH("AAPL US Equity","CF_FREE_CASH_FLOW","FY 2022","FY 2022","Currency=USD","Period=FY","BEST_FPERIOD_OVERRIDE=FY","FILING_STATUS=MR","SCALING_FORMAT=MLN","Sort=A","Dates=H","DateFormat=P","Fill=—","Direction=H","UseDPDF=Y")</f>
        <v>111443</v>
      </c>
      <c r="H39" s="12">
        <f>_xll.BDH("AAPL US Equity","CF_FREE_CASH_FLOW","FY 2023","FY 2023","Currency=USD","Period=FY","BEST_FPERIOD_OVERRIDE=FY","FILING_STATUS=MR","SCALING_FORMAT=MLN","Sort=A","Dates=H","DateFormat=P","Fill=—","Direction=H","UseDPDF=Y")</f>
        <v>99584</v>
      </c>
      <c r="I39" s="12">
        <f>_xll.BDH("AAPL US Equity","CF_FREE_CASH_FLOW","FY 2024","FY 2024","Currency=USD","Period=FY","BEST_FPERIOD_OVERRIDE=FY","FILING_STATUS=MR","SCALING_FORMAT=MLN","Sort=A","Dates=H","DateFormat=P","Fill=—","Direction=H","UseDPDF=Y")</f>
        <v>108807</v>
      </c>
      <c r="J39" s="14">
        <v>96184</v>
      </c>
      <c r="K39" s="12">
        <v>109376.073</v>
      </c>
      <c r="L39" s="12">
        <v>120646.598</v>
      </c>
    </row>
    <row r="40" spans="1:12" x14ac:dyDescent="0.25">
      <c r="A40" s="6"/>
      <c r="B40" s="16"/>
      <c r="C40" s="16"/>
      <c r="D40" s="16"/>
      <c r="E40" s="16"/>
      <c r="F40" s="16"/>
      <c r="G40" s="16"/>
      <c r="H40" s="16"/>
      <c r="I40" s="16"/>
      <c r="J40" s="17"/>
      <c r="K40" s="16"/>
      <c r="L40" s="16"/>
    </row>
    <row r="41" spans="1:12" x14ac:dyDescent="0.25">
      <c r="A41" s="6" t="s">
        <v>68</v>
      </c>
      <c r="B41" s="16"/>
      <c r="C41" s="16"/>
      <c r="D41" s="16"/>
      <c r="E41" s="16"/>
      <c r="F41" s="16"/>
      <c r="G41" s="16"/>
      <c r="H41" s="16"/>
      <c r="I41" s="16"/>
      <c r="J41" s="17"/>
      <c r="K41" s="16"/>
      <c r="L41" s="16"/>
    </row>
    <row r="42" spans="1:12" x14ac:dyDescent="0.25">
      <c r="A42" s="10" t="s">
        <v>48</v>
      </c>
      <c r="B42" s="10" t="s">
        <v>49</v>
      </c>
      <c r="C42" s="13">
        <f>_xll.BDH("AAPL US Equity","GROSS_MARGIN","FY 2018","FY 2018","Currency=USD","Period=FY","BEST_FPERIOD_OVERRIDE=FY","FILING_STATUS=MR","FA_ADJUSTED=GAAP","Sort=A","Dates=H","DateFormat=P","Fill=—","Direction=H","UseDPDF=Y")</f>
        <v>38.343699999999998</v>
      </c>
      <c r="D42" s="13">
        <f>_xll.BDH("AAPL US Equity","GROSS_MARGIN","FY 2019","FY 2019","Currency=USD","Period=FY","BEST_FPERIOD_OVERRIDE=FY","FILING_STATUS=MR","FA_ADJUSTED=GAAP","Sort=A","Dates=H","DateFormat=P","Fill=—","Direction=H","UseDPDF=Y")</f>
        <v>37.817799999999998</v>
      </c>
      <c r="E42" s="13">
        <f>_xll.BDH("AAPL US Equity","GROSS_MARGIN","FY 2020","FY 2020","Currency=USD","Period=FY","BEST_FPERIOD_OVERRIDE=FY","FILING_STATUS=MR","FA_ADJUSTED=GAAP","Sort=A","Dates=H","DateFormat=P","Fill=—","Direction=H","UseDPDF=Y")</f>
        <v>38.233199999999997</v>
      </c>
      <c r="F42" s="13">
        <f>_xll.BDH("AAPL US Equity","GROSS_MARGIN","FY 2021","FY 2021","Currency=USD","Period=FY","BEST_FPERIOD_OVERRIDE=FY","FILING_STATUS=MR","FA_ADJUSTED=GAAP","Sort=A","Dates=H","DateFormat=P","Fill=—","Direction=H","UseDPDF=Y")</f>
        <v>41.779400000000003</v>
      </c>
      <c r="G42" s="13">
        <f>_xll.BDH("AAPL US Equity","GROSS_MARGIN","FY 2022","FY 2022","Currency=USD","Period=FY","BEST_FPERIOD_OVERRIDE=FY","FILING_STATUS=MR","FA_ADJUSTED=GAAP","Sort=A","Dates=H","DateFormat=P","Fill=—","Direction=H","UseDPDF=Y")</f>
        <v>43.309600000000003</v>
      </c>
      <c r="H42" s="13">
        <f>_xll.BDH("AAPL US Equity","GROSS_MARGIN","FY 2023","FY 2023","Currency=USD","Period=FY","BEST_FPERIOD_OVERRIDE=FY","FILING_STATUS=MR","FA_ADJUSTED=GAAP","Sort=A","Dates=H","DateFormat=P","Fill=—","Direction=H","UseDPDF=Y")</f>
        <v>44.131100000000004</v>
      </c>
      <c r="I42" s="13">
        <f>_xll.BDH("AAPL US Equity","GROSS_MARGIN","FY 2024","FY 2024","Currency=USD","Period=FY","BEST_FPERIOD_OVERRIDE=FY","FILING_STATUS=MR","FA_ADJUSTED=GAAP","Sort=A","Dates=H","DateFormat=P","Fill=—","Direction=H","UseDPDF=Y")</f>
        <v>46.206299999999999</v>
      </c>
      <c r="J42" s="15">
        <v>46.678250229428002</v>
      </c>
      <c r="K42" s="13"/>
      <c r="L42" s="13"/>
    </row>
    <row r="43" spans="1:12" x14ac:dyDescent="0.25">
      <c r="A43" s="10" t="s">
        <v>69</v>
      </c>
      <c r="B43" s="10" t="s">
        <v>70</v>
      </c>
      <c r="C43" s="13">
        <f>_xll.BDH("AAPL US Equity","EBITDA_MARGIN_ADJUSTED","FY 2018","FY 2018","Currency=USD","Period=FY","BEST_FPERIOD_OVERRIDE=FY","FILING_STATUS=MR","Sort=A","Dates=H","DateFormat=P","Fill=—","Direction=H","UseDPDF=Y")</f>
        <v>30.7103</v>
      </c>
      <c r="D43" s="13">
        <f>_xll.BDH("AAPL US Equity","EBITDA_MARGIN_ADJUSTED","FY 2019","FY 2019","Currency=USD","Period=FY","BEST_FPERIOD_OVERRIDE=FY","FILING_STATUS=MR","Sort=A","Dates=H","DateFormat=P","Fill=—","Direction=H","UseDPDF=Y")</f>
        <v>29.394600000000001</v>
      </c>
      <c r="E43" s="13">
        <f>_xll.BDH("AAPL US Equity","EBITDA_MARGIN_ADJUSTED","FY 2020","FY 2020","Currency=USD","Period=FY","BEST_FPERIOD_OVERRIDE=FY","FILING_STATUS=MR","Sort=A","Dates=H","DateFormat=P","Fill=—","Direction=H","UseDPDF=Y")</f>
        <v>28.7212</v>
      </c>
      <c r="F43" s="13">
        <f>_xll.BDH("AAPL US Equity","EBITDA_MARGIN_ADJUSTED","FY 2021","FY 2021","Currency=USD","Period=FY","BEST_FPERIOD_OVERRIDE=FY","FILING_STATUS=MR","Sort=A","Dates=H","DateFormat=P","Fill=—","Direction=H","UseDPDF=Y")</f>
        <v>33.331699999999998</v>
      </c>
      <c r="G43" s="13">
        <f>_xll.BDH("AAPL US Equity","EBITDA_MARGIN_ADJUSTED","FY 2022","FY 2022","Currency=USD","Period=FY","BEST_FPERIOD_OVERRIDE=FY","FILING_STATUS=MR","Sort=A","Dates=H","DateFormat=P","Fill=—","Direction=H","UseDPDF=Y")</f>
        <v>33.586500000000001</v>
      </c>
      <c r="H43" s="13">
        <f>_xll.BDH("AAPL US Equity","EBITDA_MARGIN_ADJUSTED","FY 2023","FY 2023","Currency=USD","Period=FY","BEST_FPERIOD_OVERRIDE=FY","FILING_STATUS=MR","Sort=A","Dates=H","DateFormat=P","Fill=—","Direction=H","UseDPDF=Y")</f>
        <v>33.348599999999998</v>
      </c>
      <c r="I43" s="13">
        <f>_xll.BDH("AAPL US Equity","EBITDA_MARGIN_ADJUSTED","FY 2024","FY 2024","Currency=USD","Period=FY","BEST_FPERIOD_OVERRIDE=FY","FILING_STATUS=MR","Sort=A","Dates=H","DateFormat=P","Fill=—","Direction=H","UseDPDF=Y")</f>
        <v>34.948500000000003</v>
      </c>
      <c r="J43" s="15">
        <v>33.0001276107023</v>
      </c>
      <c r="K43" s="13"/>
      <c r="L43" s="13"/>
    </row>
    <row r="44" spans="1:12" x14ac:dyDescent="0.25">
      <c r="A44" s="10" t="s">
        <v>71</v>
      </c>
      <c r="B44" s="10" t="s">
        <v>72</v>
      </c>
      <c r="C44" s="13">
        <f>_xll.BDH("AAPL US Equity","EBITDA_TO_REVENUE","FY 2018","FY 2018","Currency=USD","Period=FY","BEST_FPERIOD_OVERRIDE=FY","FILING_STATUS=MR","FA_ADJUSTED=GAAP","Sort=A","Dates=H","DateFormat=P","Fill=—","Direction=H","UseDPDF=Y")</f>
        <v>30.799099999999999</v>
      </c>
      <c r="D44" s="13">
        <f>_xll.BDH("AAPL US Equity","EBITDA_TO_REVENUE","FY 2019","FY 2019","Currency=USD","Period=FY","BEST_FPERIOD_OVERRIDE=FY","FILING_STATUS=MR","FA_ADJUSTED=GAAP","Sort=A","Dates=H","DateFormat=P","Fill=—","Direction=H","UseDPDF=Y")</f>
        <v>29.394600000000001</v>
      </c>
      <c r="E44" s="13">
        <f>_xll.BDH("AAPL US Equity","EBITDA_TO_REVENUE","FY 2020","FY 2020","Currency=USD","Period=FY","BEST_FPERIOD_OVERRIDE=FY","FILING_STATUS=MR","FA_ADJUSTED=GAAP","Sort=A","Dates=H","DateFormat=P","Fill=—","Direction=H","UseDPDF=Y")</f>
        <v>28.7212</v>
      </c>
      <c r="F44" s="13">
        <f>_xll.BDH("AAPL US Equity","EBITDA_TO_REVENUE","FY 2021","FY 2021","Currency=USD","Period=FY","BEST_FPERIOD_OVERRIDE=FY","FILING_STATUS=MR","FA_ADJUSTED=GAAP","Sort=A","Dates=H","DateFormat=P","Fill=—","Direction=H","UseDPDF=Y")</f>
        <v>33.331699999999998</v>
      </c>
      <c r="G44" s="13">
        <f>_xll.BDH("AAPL US Equity","EBITDA_TO_REVENUE","FY 2022","FY 2022","Currency=USD","Period=FY","BEST_FPERIOD_OVERRIDE=FY","FILING_STATUS=MR","FA_ADJUSTED=GAAP","Sort=A","Dates=H","DateFormat=P","Fill=—","Direction=H","UseDPDF=Y")</f>
        <v>33.586500000000001</v>
      </c>
      <c r="H44" s="13">
        <f>_xll.BDH("AAPL US Equity","EBITDA_TO_REVENUE","FY 2023","FY 2023","Currency=USD","Period=FY","BEST_FPERIOD_OVERRIDE=FY","FILING_STATUS=MR","FA_ADJUSTED=GAAP","Sort=A","Dates=H","DateFormat=P","Fill=—","Direction=H","UseDPDF=Y")</f>
        <v>33.348599999999998</v>
      </c>
      <c r="I44" s="13">
        <f>_xll.BDH("AAPL US Equity","EBITDA_TO_REVENUE","FY 2024","FY 2024","Currency=USD","Period=FY","BEST_FPERIOD_OVERRIDE=FY","FILING_STATUS=MR","FA_ADJUSTED=GAAP","Sort=A","Dates=H","DateFormat=P","Fill=—","Direction=H","UseDPDF=Y")</f>
        <v>34.948500000000003</v>
      </c>
      <c r="J44" s="15">
        <v>34.676292444172503</v>
      </c>
      <c r="K44" s="13"/>
      <c r="L44" s="13"/>
    </row>
    <row r="45" spans="1:12" x14ac:dyDescent="0.25">
      <c r="A45" s="10" t="s">
        <v>73</v>
      </c>
      <c r="B45" s="10" t="s">
        <v>74</v>
      </c>
      <c r="C45" s="13">
        <f>_xll.BDH("AAPL US Equity","EBIT_TO_NET_SALES","FY 2018","FY 2018","Currency=USD","Period=FY","BEST_FPERIOD_OVERRIDE=FY","FILING_STATUS=MR","FA_ADJUSTED=GAAP","Sort=A","Dates=H","DateFormat=P","Fill=—","Direction=H","UseDPDF=Y")</f>
        <v>26.693999999999999</v>
      </c>
      <c r="D45" s="13">
        <f>_xll.BDH("AAPL US Equity","EBIT_TO_NET_SALES","FY 2019","FY 2019","Currency=USD","Period=FY","BEST_FPERIOD_OVERRIDE=FY","FILING_STATUS=MR","FA_ADJUSTED=GAAP","Sort=A","Dates=H","DateFormat=P","Fill=—","Direction=H","UseDPDF=Y")</f>
        <v>24.571999999999999</v>
      </c>
      <c r="E45" s="13">
        <f>_xll.BDH("AAPL US Equity","EBIT_TO_NET_SALES","FY 2020","FY 2020","Currency=USD","Period=FY","BEST_FPERIOD_OVERRIDE=FY","FILING_STATUS=MR","FA_ADJUSTED=GAAP","Sort=A","Dates=H","DateFormat=P","Fill=—","Direction=H","UseDPDF=Y")</f>
        <v>24.147300000000001</v>
      </c>
      <c r="F45" s="13">
        <f>_xll.BDH("AAPL US Equity","EBIT_TO_NET_SALES","FY 2021","FY 2021","Currency=USD","Period=FY","BEST_FPERIOD_OVERRIDE=FY","FILING_STATUS=MR","FA_ADJUSTED=GAAP","Sort=A","Dates=H","DateFormat=P","Fill=—","Direction=H","UseDPDF=Y")</f>
        <v>29.782399999999999</v>
      </c>
      <c r="G45" s="13">
        <f>_xll.BDH("AAPL US Equity","EBIT_TO_NET_SALES","FY 2022","FY 2022","Currency=USD","Period=FY","BEST_FPERIOD_OVERRIDE=FY","FILING_STATUS=MR","FA_ADJUSTED=GAAP","Sort=A","Dates=H","DateFormat=P","Fill=—","Direction=H","UseDPDF=Y")</f>
        <v>30.288699999999999</v>
      </c>
      <c r="H45" s="13">
        <f>_xll.BDH("AAPL US Equity","EBIT_TO_NET_SALES","FY 2023","FY 2023","Currency=USD","Period=FY","BEST_FPERIOD_OVERRIDE=FY","FILING_STATUS=MR","FA_ADJUSTED=GAAP","Sort=A","Dates=H","DateFormat=P","Fill=—","Direction=H","UseDPDF=Y")</f>
        <v>29.821400000000001</v>
      </c>
      <c r="I45" s="13">
        <f>_xll.BDH("AAPL US Equity","EBIT_TO_NET_SALES","FY 2024","FY 2024","Currency=USD","Period=FY","BEST_FPERIOD_OVERRIDE=FY","FILING_STATUS=MR","FA_ADJUSTED=GAAP","Sort=A","Dates=H","DateFormat=P","Fill=—","Direction=H","UseDPDF=Y")</f>
        <v>31.510200000000001</v>
      </c>
      <c r="J45" s="15">
        <v>31.866381156316901</v>
      </c>
      <c r="K45" s="13">
        <v>31.841450036907698</v>
      </c>
      <c r="L45" s="13">
        <v>31.879467959703</v>
      </c>
    </row>
    <row r="46" spans="1:12" x14ac:dyDescent="0.25">
      <c r="A46" s="10" t="s">
        <v>57</v>
      </c>
      <c r="B46" s="10" t="s">
        <v>58</v>
      </c>
      <c r="C46" s="13">
        <f>_xll.BDH("AAPL US Equity","PROF_MARGIN","FY 2018","FY 2018","Currency=USD","Period=FY","BEST_FPERIOD_OVERRIDE=FY","FILING_STATUS=MR","FA_ADJUSTED=GAAP","Sort=A","Dates=H","DateFormat=P","Fill=—","Direction=H","UseDPDF=Y")</f>
        <v>22.414200000000001</v>
      </c>
      <c r="D46" s="13">
        <f>_xll.BDH("AAPL US Equity","PROF_MARGIN","FY 2019","FY 2019","Currency=USD","Period=FY","BEST_FPERIOD_OVERRIDE=FY","FILING_STATUS=MR","FA_ADJUSTED=GAAP","Sort=A","Dates=H","DateFormat=P","Fill=—","Direction=H","UseDPDF=Y")</f>
        <v>21.238099999999999</v>
      </c>
      <c r="E46" s="13">
        <f>_xll.BDH("AAPL US Equity","PROF_MARGIN","FY 2020","FY 2020","Currency=USD","Period=FY","BEST_FPERIOD_OVERRIDE=FY","FILING_STATUS=MR","FA_ADJUSTED=GAAP","Sort=A","Dates=H","DateFormat=P","Fill=—","Direction=H","UseDPDF=Y")</f>
        <v>20.913599999999999</v>
      </c>
      <c r="F46" s="13">
        <f>_xll.BDH("AAPL US Equity","PROF_MARGIN","FY 2021","FY 2021","Currency=USD","Period=FY","BEST_FPERIOD_OVERRIDE=FY","FILING_STATUS=MR","FA_ADJUSTED=GAAP","Sort=A","Dates=H","DateFormat=P","Fill=—","Direction=H","UseDPDF=Y")</f>
        <v>25.881799999999998</v>
      </c>
      <c r="G46" s="13">
        <f>_xll.BDH("AAPL US Equity","PROF_MARGIN","FY 2022","FY 2022","Currency=USD","Period=FY","BEST_FPERIOD_OVERRIDE=FY","FILING_STATUS=MR","FA_ADJUSTED=GAAP","Sort=A","Dates=H","DateFormat=P","Fill=—","Direction=H","UseDPDF=Y")</f>
        <v>25.3096</v>
      </c>
      <c r="H46" s="13">
        <f>_xll.BDH("AAPL US Equity","PROF_MARGIN","FY 2023","FY 2023","Currency=USD","Period=FY","BEST_FPERIOD_OVERRIDE=FY","FILING_STATUS=MR","FA_ADJUSTED=GAAP","Sort=A","Dates=H","DateFormat=P","Fill=—","Direction=H","UseDPDF=Y")</f>
        <v>25.3062</v>
      </c>
      <c r="I46" s="13">
        <f>_xll.BDH("AAPL US Equity","PROF_MARGIN","FY 2024","FY 2024","Currency=USD","Period=FY","BEST_FPERIOD_OVERRIDE=FY","FILING_STATUS=MR","FA_ADJUSTED=GAAP","Sort=A","Dates=H","DateFormat=P","Fill=—","Direction=H","UseDPDF=Y")</f>
        <v>23.971299999999999</v>
      </c>
      <c r="J46" s="15">
        <v>24.2961150198838</v>
      </c>
      <c r="K46" s="13">
        <v>26.677841137546501</v>
      </c>
      <c r="L46" s="13">
        <v>26.656643020159802</v>
      </c>
    </row>
    <row r="47" spans="1:12" x14ac:dyDescent="0.25">
      <c r="A47" s="10" t="s">
        <v>75</v>
      </c>
      <c r="B47" s="10" t="s">
        <v>76</v>
      </c>
      <c r="C47" s="13">
        <f>_xll.BDH("AAPL US Equity","T12_FCF_MARGIN","FY 2018","FY 2018","Currency=USD","Period=FY","BEST_FPERIOD_OVERRIDE=FY","FILING_STATUS=MR","FA_ADJUSTED=GAAP","Sort=A","Dates=H","DateFormat=P","Fill=—","Direction=H","UseDPDF=Y")</f>
        <v>24.142399999999999</v>
      </c>
      <c r="D47" s="13">
        <f>_xll.BDH("AAPL US Equity","T12_FCF_MARGIN","FY 2019","FY 2019","Currency=USD","Period=FY","BEST_FPERIOD_OVERRIDE=FY","FILING_STATUS=MR","FA_ADJUSTED=GAAP","Sort=A","Dates=H","DateFormat=P","Fill=—","Direction=H","UseDPDF=Y")</f>
        <v>22.6372</v>
      </c>
      <c r="E47" s="13">
        <f>_xll.BDH("AAPL US Equity","T12_FCF_MARGIN","FY 2020","FY 2020","Currency=USD","Period=FY","BEST_FPERIOD_OVERRIDE=FY","FILING_STATUS=MR","FA_ADJUSTED=GAAP","Sort=A","Dates=H","DateFormat=P","Fill=—","Direction=H","UseDPDF=Y")</f>
        <v>26.725300000000001</v>
      </c>
      <c r="F47" s="13">
        <f>_xll.BDH("AAPL US Equity","T12_FCF_MARGIN","FY 2021","FY 2021","Currency=USD","Period=FY","BEST_FPERIOD_OVERRIDE=FY","FILING_STATUS=MR","FA_ADJUSTED=GAAP","Sort=A","Dates=H","DateFormat=P","Fill=—","Direction=H","UseDPDF=Y")</f>
        <v>25.409700000000001</v>
      </c>
      <c r="G47" s="13">
        <f>_xll.BDH("AAPL US Equity","T12_FCF_MARGIN","FY 2022","FY 2022","Currency=USD","Period=FY","BEST_FPERIOD_OVERRIDE=FY","FILING_STATUS=MR","FA_ADJUSTED=GAAP","Sort=A","Dates=H","DateFormat=P","Fill=—","Direction=H","UseDPDF=Y")</f>
        <v>28.261500000000002</v>
      </c>
      <c r="H47" s="13">
        <f>_xll.BDH("AAPL US Equity","T12_FCF_MARGIN","FY 2023","FY 2023","Currency=USD","Period=FY","BEST_FPERIOD_OVERRIDE=FY","FILING_STATUS=MR","FA_ADJUSTED=GAAP","Sort=A","Dates=H","DateFormat=P","Fill=—","Direction=H","UseDPDF=Y")</f>
        <v>25.9817</v>
      </c>
      <c r="I47" s="13">
        <f>_xll.BDH("AAPL US Equity","T12_FCF_MARGIN","FY 2024","FY 2024","Currency=USD","Period=FY","BEST_FPERIOD_OVERRIDE=FY","FILING_STATUS=MR","FA_ADJUSTED=GAAP","Sort=A","Dates=H","DateFormat=P","Fill=—","Direction=H","UseDPDF=Y")</f>
        <v>27.825399999999998</v>
      </c>
      <c r="J47" s="15">
        <v>23.5384521260324</v>
      </c>
      <c r="K47" s="13"/>
      <c r="L47" s="13"/>
    </row>
    <row r="48" spans="1:12" x14ac:dyDescent="0.25">
      <c r="A48" s="10" t="s">
        <v>77</v>
      </c>
      <c r="B48" s="10" t="s">
        <v>78</v>
      </c>
      <c r="C48" s="13">
        <f>_xll.BDH("AAPL US Equity","RETURN_COM_EQY","FY 2018","FY 2018","Currency=USD","Period=FY","BEST_FPERIOD_OVERRIDE=FY","FILING_STATUS=MR","FA_ADJUSTED=GAAP","Sort=A","Dates=H","DateFormat=P","Fill=—","Direction=H","UseDPDF=Y")</f>
        <v>49.363599999999998</v>
      </c>
      <c r="D48" s="13">
        <f>_xll.BDH("AAPL US Equity","RETURN_COM_EQY","FY 2019","FY 2019","Currency=USD","Period=FY","BEST_FPERIOD_OVERRIDE=FY","FILING_STATUS=MR","FA_ADJUSTED=GAAP","Sort=A","Dates=H","DateFormat=P","Fill=—","Direction=H","UseDPDF=Y")</f>
        <v>55.917200000000001</v>
      </c>
      <c r="E48" s="13">
        <f>_xll.BDH("AAPL US Equity","RETURN_COM_EQY","FY 2020","FY 2020","Currency=USD","Period=FY","BEST_FPERIOD_OVERRIDE=FY","FILING_STATUS=MR","FA_ADJUSTED=GAAP","Sort=A","Dates=H","DateFormat=P","Fill=—","Direction=H","UseDPDF=Y")</f>
        <v>73.685599999999994</v>
      </c>
      <c r="F48" s="13">
        <f>_xll.BDH("AAPL US Equity","RETURN_COM_EQY","FY 2021","FY 2021","Currency=USD","Period=FY","BEST_FPERIOD_OVERRIDE=FY","FILING_STATUS=MR","FA_ADJUSTED=GAAP","Sort=A","Dates=H","DateFormat=P","Fill=—","Direction=H","UseDPDF=Y")</f>
        <v>147.44329999999999</v>
      </c>
      <c r="G48" s="13">
        <f>_xll.BDH("AAPL US Equity","RETURN_COM_EQY","FY 2022","FY 2022","Currency=USD","Period=FY","BEST_FPERIOD_OVERRIDE=FY","FILING_STATUS=MR","FA_ADJUSTED=GAAP","Sort=A","Dates=H","DateFormat=P","Fill=—","Direction=H","UseDPDF=Y")</f>
        <v>175.45930000000001</v>
      </c>
      <c r="H48" s="13">
        <f>_xll.BDH("AAPL US Equity","RETURN_COM_EQY","FY 2023","FY 2023","Currency=USD","Period=FY","BEST_FPERIOD_OVERRIDE=FY","FILING_STATUS=MR","FA_ADJUSTED=GAAP","Sort=A","Dates=H","DateFormat=P","Fill=—","Direction=H","UseDPDF=Y")</f>
        <v>171.9495</v>
      </c>
      <c r="I48" s="13">
        <f>_xll.BDH("AAPL US Equity","RETURN_COM_EQY","FY 2024","FY 2024","Currency=USD","Period=FY","BEST_FPERIOD_OVERRIDE=FY","FILING_STATUS=MR","FA_ADJUSTED=GAAP","Sort=A","Dates=H","DateFormat=P","Fill=—","Direction=H","UseDPDF=Y")</f>
        <v>157.41249999999999</v>
      </c>
      <c r="J48" s="15">
        <v>149.81363835277401</v>
      </c>
      <c r="K48" s="13">
        <v>177.196</v>
      </c>
      <c r="L48" s="13">
        <v>182.67</v>
      </c>
    </row>
    <row r="49" spans="1:12" x14ac:dyDescent="0.25">
      <c r="A49" s="10" t="s">
        <v>79</v>
      </c>
      <c r="B49" s="10" t="s">
        <v>80</v>
      </c>
      <c r="C49" s="13">
        <f>_xll.BDH("AAPL US Equity","RETURN_ON_TANGIBLE_EQUITY","FY 2018","FY 2018","Currency=USD","Period=FY","BEST_FPERIOD_OVERRIDE=FY","FILING_STATUS=MR","FA_ADJUSTED=GAAP","Sort=A","Dates=H","DateFormat=P","Fill=—","Direction=H","UseDPDF=Y")</f>
        <v>51.060299999999998</v>
      </c>
      <c r="D49" s="13">
        <f>_xll.BDH("AAPL US Equity","RETURN_ON_TANGIBLE_EQUITY","FY 2019","FY 2019","Currency=USD","Period=FY","BEST_FPERIOD_OVERRIDE=FY","FILING_STATUS=MR","FA_ADJUSTED=GAAP","Sort=A","Dates=H","DateFormat=P","Fill=—","Direction=H","UseDPDF=Y")</f>
        <v>55.917200000000001</v>
      </c>
      <c r="E49" s="13">
        <f>_xll.BDH("AAPL US Equity","RETURN_ON_TANGIBLE_EQUITY","FY 2020","FY 2020","Currency=USD","Period=FY","BEST_FPERIOD_OVERRIDE=FY","FILING_STATUS=MR","FA_ADJUSTED=GAAP","Sort=A","Dates=H","DateFormat=P","Fill=—","Direction=H","UseDPDF=Y")</f>
        <v>73.685599999999994</v>
      </c>
      <c r="F49" s="13">
        <f>_xll.BDH("AAPL US Equity","RETURN_ON_TANGIBLE_EQUITY","FY 2021","FY 2021","Currency=USD","Period=FY","BEST_FPERIOD_OVERRIDE=FY","FILING_STATUS=MR","FA_ADJUSTED=GAAP","Sort=A","Dates=H","DateFormat=P","Fill=—","Direction=H","UseDPDF=Y")</f>
        <v>147.44329999999999</v>
      </c>
      <c r="G49" s="13">
        <f>_xll.BDH("AAPL US Equity","RETURN_ON_TANGIBLE_EQUITY","FY 2022","FY 2022","Currency=USD","Period=FY","BEST_FPERIOD_OVERRIDE=FY","FILING_STATUS=MR","FA_ADJUSTED=GAAP","Sort=A","Dates=H","DateFormat=P","Fill=—","Direction=H","UseDPDF=Y")</f>
        <v>175.45930000000001</v>
      </c>
      <c r="H49" s="13">
        <f>_xll.BDH("AAPL US Equity","RETURN_ON_TANGIBLE_EQUITY","FY 2023","FY 2023","Currency=USD","Period=FY","BEST_FPERIOD_OVERRIDE=FY","FILING_STATUS=MR","FA_ADJUSTED=GAAP","Sort=A","Dates=H","DateFormat=P","Fill=—","Direction=H","UseDPDF=Y")</f>
        <v>171.9495</v>
      </c>
      <c r="I49" s="13">
        <f>_xll.BDH("AAPL US Equity","RETURN_ON_TANGIBLE_EQUITY","FY 2024","FY 2024","Currency=USD","Period=FY","BEST_FPERIOD_OVERRIDE=FY","FILING_STATUS=MR","FA_ADJUSTED=GAAP","Sort=A","Dates=H","DateFormat=P","Fill=—","Direction=H","UseDPDF=Y")</f>
        <v>157.41249999999999</v>
      </c>
      <c r="J49" s="15">
        <v>149.81363835277401</v>
      </c>
      <c r="K49" s="13"/>
      <c r="L49" s="13"/>
    </row>
    <row r="50" spans="1:12" x14ac:dyDescent="0.25">
      <c r="A50" s="10" t="s">
        <v>81</v>
      </c>
      <c r="B50" s="10" t="s">
        <v>82</v>
      </c>
      <c r="C50" s="13">
        <f>_xll.BDH("AAPL US Equity","RETURN_ON_ASSET","FY 2018","FY 2018","Currency=USD","Period=FY","BEST_FPERIOD_OVERRIDE=FY","FILING_STATUS=MR","FA_ADJUSTED=GAAP","Sort=A","Dates=H","DateFormat=P","Fill=—","Direction=H","UseDPDF=Y")</f>
        <v>16.066800000000001</v>
      </c>
      <c r="D50" s="13">
        <f>_xll.BDH("AAPL US Equity","RETURN_ON_ASSET","FY 2019","FY 2019","Currency=USD","Period=FY","BEST_FPERIOD_OVERRIDE=FY","FILING_STATUS=MR","FA_ADJUSTED=GAAP","Sort=A","Dates=H","DateFormat=P","Fill=—","Direction=H","UseDPDF=Y")</f>
        <v>15.692399999999999</v>
      </c>
      <c r="E50" s="13">
        <f>_xll.BDH("AAPL US Equity","RETURN_ON_ASSET","FY 2020","FY 2020","Currency=USD","Period=FY","BEST_FPERIOD_OVERRIDE=FY","FILING_STATUS=MR","FA_ADJUSTED=GAAP","Sort=A","Dates=H","DateFormat=P","Fill=—","Direction=H","UseDPDF=Y")</f>
        <v>17.334099999999999</v>
      </c>
      <c r="F50" s="13">
        <f>_xll.BDH("AAPL US Equity","RETURN_ON_ASSET","FY 2021","FY 2021","Currency=USD","Period=FY","BEST_FPERIOD_OVERRIDE=FY","FILING_STATUS=MR","FA_ADJUSTED=GAAP","Sort=A","Dates=H","DateFormat=P","Fill=—","Direction=H","UseDPDF=Y")</f>
        <v>28.0579</v>
      </c>
      <c r="G50" s="13">
        <f>_xll.BDH("AAPL US Equity","RETURN_ON_ASSET","FY 2022","FY 2022","Currency=USD","Period=FY","BEST_FPERIOD_OVERRIDE=FY","FILING_STATUS=MR","FA_ADJUSTED=GAAP","Sort=A","Dates=H","DateFormat=P","Fill=—","Direction=H","UseDPDF=Y")</f>
        <v>28.3629</v>
      </c>
      <c r="H50" s="13">
        <f>_xll.BDH("AAPL US Equity","RETURN_ON_ASSET","FY 2023","FY 2023","Currency=USD","Period=FY","BEST_FPERIOD_OVERRIDE=FY","FILING_STATUS=MR","FA_ADJUSTED=GAAP","Sort=A","Dates=H","DateFormat=P","Fill=—","Direction=H","UseDPDF=Y")</f>
        <v>27.5031</v>
      </c>
      <c r="I50" s="13">
        <f>_xll.BDH("AAPL US Equity","RETURN_ON_ASSET","FY 2024","FY 2024","Currency=USD","Period=FY","BEST_FPERIOD_OVERRIDE=FY","FILING_STATUS=MR","FA_ADJUSTED=GAAP","Sort=A","Dates=H","DateFormat=P","Fill=—","Direction=H","UseDPDF=Y")</f>
        <v>26.126200000000001</v>
      </c>
      <c r="J50" s="15">
        <v>29.943885375964999</v>
      </c>
      <c r="K50" s="13">
        <v>30.690999999999999</v>
      </c>
      <c r="L50" s="13">
        <v>31.936</v>
      </c>
    </row>
    <row r="51" spans="1:12" x14ac:dyDescent="0.25">
      <c r="A51" s="10" t="s">
        <v>83</v>
      </c>
      <c r="B51" s="10" t="s">
        <v>84</v>
      </c>
      <c r="C51" s="13">
        <f>_xll.BDH("AAPL US Equity","WACC","FY 2018","FY 2018","Currency=USD","Period=FY","BEST_FPERIOD_OVERRIDE=FY","FILING_STATUS=MR","Sort=A","Dates=H","DateFormat=P","Fill=—","Direction=H","UseDPDF=Y")</f>
        <v>9.0937000000000001</v>
      </c>
      <c r="D51" s="13">
        <f>_xll.BDH("AAPL US Equity","WACC","FY 2019","FY 2019","Currency=USD","Period=FY","BEST_FPERIOD_OVERRIDE=FY","FILING_STATUS=MR","Sort=A","Dates=H","DateFormat=P","Fill=—","Direction=H","UseDPDF=Y")</f>
        <v>8.5898000000000003</v>
      </c>
      <c r="E51" s="13">
        <f>_xll.BDH("AAPL US Equity","WACC","FY 2020","FY 2020","Currency=USD","Period=FY","BEST_FPERIOD_OVERRIDE=FY","FILING_STATUS=MR","Sort=A","Dates=H","DateFormat=P","Fill=—","Direction=H","UseDPDF=Y")</f>
        <v>8.2376000000000005</v>
      </c>
      <c r="F51" s="13">
        <f>_xll.BDH("AAPL US Equity","WACC","FY 2021","FY 2021","Currency=USD","Period=FY","BEST_FPERIOD_OVERRIDE=FY","FILING_STATUS=MR","Sort=A","Dates=H","DateFormat=P","Fill=—","Direction=H","UseDPDF=Y")</f>
        <v>9.9984000000000002</v>
      </c>
      <c r="G51" s="13">
        <f>_xll.BDH("AAPL US Equity","WACC","FY 2022","FY 2022","Currency=USD","Period=FY","BEST_FPERIOD_OVERRIDE=FY","FILING_STATUS=MR","Sort=A","Dates=H","DateFormat=P","Fill=—","Direction=H","UseDPDF=Y")</f>
        <v>9.5286000000000008</v>
      </c>
      <c r="H51" s="13">
        <f>_xll.BDH("AAPL US Equity","WACC","FY 2023","FY 2023","Currency=USD","Period=FY","BEST_FPERIOD_OVERRIDE=FY","FILING_STATUS=MR","Sort=A","Dates=H","DateFormat=P","Fill=—","Direction=H","UseDPDF=Y")</f>
        <v>11.001099999999999</v>
      </c>
      <c r="I51" s="13">
        <f>_xll.BDH("AAPL US Equity","WACC","FY 2024","FY 2024","Currency=USD","Period=FY","BEST_FPERIOD_OVERRIDE=FY","FILING_STATUS=MR","Sort=A","Dates=H","DateFormat=P","Fill=—","Direction=H","UseDPDF=Y")</f>
        <v>10.626200000000001</v>
      </c>
      <c r="J51" s="15">
        <v>9.8112489352038796</v>
      </c>
      <c r="K51" s="13"/>
      <c r="L51" s="13"/>
    </row>
    <row r="52" spans="1:12" x14ac:dyDescent="0.25">
      <c r="A52" s="10" t="s">
        <v>85</v>
      </c>
      <c r="B52" s="10" t="s">
        <v>86</v>
      </c>
      <c r="C52" s="13">
        <f>_xll.BDH("AAPL US Equity","RETURN_ON_INV_CAPITAL","FY 2018","FY 2018","Currency=USD","Period=FY","BEST_FPERIOD_OVERRIDE=FY","FILING_STATUS=MR","FA_ADJUSTED=GAAP","Sort=A","Dates=H","DateFormat=P","Fill=—","Direction=H","UseDPDF=Y")</f>
        <v>22.935600000000001</v>
      </c>
      <c r="D52" s="13">
        <f>_xll.BDH("AAPL US Equity","RETURN_ON_INV_CAPITAL","FY 2019","FY 2019","Currency=USD","Period=FY","BEST_FPERIOD_OVERRIDE=FY","FILING_STATUS=MR","FA_ADJUSTED=GAAP","Sort=A","Dates=H","DateFormat=P","Fill=—","Direction=H","UseDPDF=Y")</f>
        <v>24.761099999999999</v>
      </c>
      <c r="E52" s="13">
        <f>_xll.BDH("AAPL US Equity","RETURN_ON_INV_CAPITAL","FY 2020","FY 2020","Currency=USD","Period=FY","BEST_FPERIOD_OVERRIDE=FY","FILING_STATUS=MR","FA_ADJUSTED=GAAP","Sort=A","Dates=H","DateFormat=P","Fill=—","Direction=H","UseDPDF=Y")</f>
        <v>28.196000000000002</v>
      </c>
      <c r="F52" s="13">
        <f>_xll.BDH("AAPL US Equity","RETURN_ON_INV_CAPITAL","FY 2021","FY 2021","Currency=USD","Period=FY","BEST_FPERIOD_OVERRIDE=FY","FILING_STATUS=MR","FA_ADJUSTED=GAAP","Sort=A","Dates=H","DateFormat=P","Fill=—","Direction=H","UseDPDF=Y")</f>
        <v>46.250100000000003</v>
      </c>
      <c r="G52" s="13">
        <f>_xll.BDH("AAPL US Equity","RETURN_ON_INV_CAPITAL","FY 2022","FY 2022","Currency=USD","Period=FY","BEST_FPERIOD_OVERRIDE=FY","FILING_STATUS=MR","FA_ADJUSTED=GAAP","Sort=A","Dates=H","DateFormat=P","Fill=—","Direction=H","UseDPDF=Y")</f>
        <v>48.776400000000002</v>
      </c>
      <c r="H52" s="13">
        <f>_xll.BDH("AAPL US Equity","RETURN_ON_INV_CAPITAL","FY 2023","FY 2023","Currency=USD","Period=FY","BEST_FPERIOD_OVERRIDE=FY","FILING_STATUS=MR","FA_ADJUSTED=GAAP","Sort=A","Dates=H","DateFormat=P","Fill=—","Direction=H","UseDPDF=Y")</f>
        <v>48.614899999999999</v>
      </c>
      <c r="I52" s="13">
        <f>_xll.BDH("AAPL US Equity","RETURN_ON_INV_CAPITAL","FY 2024","FY 2024","Currency=USD","Period=FY","BEST_FPERIOD_OVERRIDE=FY","FILING_STATUS=MR","FA_ADJUSTED=GAAP","Sort=A","Dates=H","DateFormat=P","Fill=—","Direction=H","UseDPDF=Y")</f>
        <v>46.9375</v>
      </c>
      <c r="J52" s="15">
        <v>59.522535654533101</v>
      </c>
      <c r="K52" s="13"/>
      <c r="L52" s="13"/>
    </row>
    <row r="53" spans="1:12" x14ac:dyDescent="0.25">
      <c r="A53" s="10" t="s">
        <v>87</v>
      </c>
      <c r="B53" s="10" t="s">
        <v>88</v>
      </c>
      <c r="C53" s="13">
        <f>_xll.BDH("AAPL US Equity","RETURN_ON_CAPITAL_EMPLOYED","FY 2018","FY 2018","Currency=USD","Period=FY","BEST_FPERIOD_OVERRIDE=FY","FILING_STATUS=MR","FA_ADJUSTED=GAAP","Sort=A","Dates=H","DateFormat=P","Fill=—","Direction=H","UseDPDF=Y")</f>
        <v>105.0921</v>
      </c>
      <c r="D53" s="13">
        <f>_xll.BDH("AAPL US Equity","RETURN_ON_CAPITAL_EMPLOYED","FY 2019","FY 2019","Currency=USD","Period=FY","BEST_FPERIOD_OVERRIDE=FY","FILING_STATUS=MR","FA_ADJUSTED=GAAP","Sort=A","Dates=H","DateFormat=P","Fill=—","Direction=H","UseDPDF=Y")</f>
        <v>77.069500000000005</v>
      </c>
      <c r="E53" s="13">
        <f>_xll.BDH("AAPL US Equity","RETURN_ON_CAPITAL_EMPLOYED","FY 2020","FY 2020","Currency=USD","Period=FY","BEST_FPERIOD_OVERRIDE=FY","FILING_STATUS=MR","FA_ADJUSTED=GAAP","Sort=A","Dates=H","DateFormat=P","Fill=—","Direction=H","UseDPDF=Y")</f>
        <v>67.217699999999994</v>
      </c>
      <c r="F53" s="13">
        <f>_xll.BDH("AAPL US Equity","RETURN_ON_CAPITAL_EMPLOYED","FY 2021","FY 2021","Currency=USD","Period=FY","BEST_FPERIOD_OVERRIDE=FY","FILING_STATUS=MR","FA_ADJUSTED=GAAP","Sort=A","Dates=H","DateFormat=P","Fill=—","Direction=H","UseDPDF=Y")</f>
        <v>136.06540000000001</v>
      </c>
      <c r="G53" s="13">
        <f>_xll.BDH("AAPL US Equity","RETURN_ON_CAPITAL_EMPLOYED","FY 2022","FY 2022","Currency=USD","Period=FY","BEST_FPERIOD_OVERRIDE=FY","FILING_STATUS=MR","FA_ADJUSTED=GAAP","Sort=A","Dates=H","DateFormat=P","Fill=—","Direction=H","UseDPDF=Y")</f>
        <v>220.29329999999999</v>
      </c>
      <c r="H53" s="13">
        <f>_xll.BDH("AAPL US Equity","RETURN_ON_CAPITAL_EMPLOYED","FY 2023","FY 2023","Currency=USD","Period=FY","BEST_FPERIOD_OVERRIDE=FY","FILING_STATUS=MR","FA_ADJUSTED=GAAP","Sort=A","Dates=H","DateFormat=P","Fill=—","Direction=H","UseDPDF=Y")</f>
        <v>231.77719999999999</v>
      </c>
      <c r="I53" s="13" t="str">
        <f>_xll.BDH("AAPL US Equity","RETURN_ON_CAPITAL_EMPLOYED","FY 2024","FY 2024","Currency=USD","Period=FY","BEST_FPERIOD_OVERRIDE=FY","FILING_STATUS=MR","FA_ADJUSTED=GAAP","Sort=A","Dates=H","DateFormat=P","Fill=—","Direction=H","UseDPDF=Y")</f>
        <v>—</v>
      </c>
      <c r="J53" s="15"/>
      <c r="K53" s="13"/>
      <c r="L53" s="13"/>
    </row>
    <row r="54" spans="1:12" x14ac:dyDescent="0.25">
      <c r="A54" s="6"/>
      <c r="B54" s="16"/>
      <c r="C54" s="16"/>
      <c r="D54" s="16"/>
      <c r="E54" s="16"/>
      <c r="F54" s="16"/>
      <c r="G54" s="16"/>
      <c r="H54" s="16"/>
      <c r="I54" s="16"/>
      <c r="J54" s="17"/>
      <c r="K54" s="16"/>
      <c r="L54" s="16"/>
    </row>
    <row r="55" spans="1:12" x14ac:dyDescent="0.25">
      <c r="A55" s="6" t="s">
        <v>89</v>
      </c>
      <c r="B55" s="16"/>
      <c r="C55" s="16"/>
      <c r="D55" s="16"/>
      <c r="E55" s="16"/>
      <c r="F55" s="16"/>
      <c r="G55" s="16"/>
      <c r="H55" s="16"/>
      <c r="I55" s="16"/>
      <c r="J55" s="17"/>
      <c r="K55" s="16"/>
      <c r="L55" s="16"/>
    </row>
    <row r="56" spans="1:12" x14ac:dyDescent="0.25">
      <c r="A56" s="10" t="s">
        <v>59</v>
      </c>
      <c r="B56" s="10" t="s">
        <v>60</v>
      </c>
      <c r="C56" s="13">
        <f>_xll.BDH("AAPL US Equity","IS_EPS","FY 2018","FY 2018","Currency=USD","Period=FY","BEST_FPERIOD_OVERRIDE=FY","FILING_STATUS=MR","FA_ADJUSTED=GAAP","Sort=A","Dates=H","DateFormat=P","Fill=—","Direction=H","UseDPDF=Y")</f>
        <v>3.0024999999999999</v>
      </c>
      <c r="D56" s="13">
        <f>_xll.BDH("AAPL US Equity","IS_EPS","FY 2019","FY 2019","Currency=USD","Period=FY","BEST_FPERIOD_OVERRIDE=FY","FILING_STATUS=MR","FA_ADJUSTED=GAAP","Sort=A","Dates=H","DateFormat=P","Fill=—","Direction=H","UseDPDF=Y")</f>
        <v>2.99</v>
      </c>
      <c r="E56" s="13">
        <f>_xll.BDH("AAPL US Equity","IS_EPS","FY 2020","FY 2020","Currency=USD","Period=FY","BEST_FPERIOD_OVERRIDE=FY","FILING_STATUS=MR","FA_ADJUSTED=GAAP","Sort=A","Dates=H","DateFormat=P","Fill=—","Direction=H","UseDPDF=Y")</f>
        <v>3.31</v>
      </c>
      <c r="F56" s="13">
        <f>_xll.BDH("AAPL US Equity","IS_EPS","FY 2021","FY 2021","Currency=USD","Period=FY","BEST_FPERIOD_OVERRIDE=FY","FILING_STATUS=MR","FA_ADJUSTED=GAAP","Sort=A","Dates=H","DateFormat=P","Fill=—","Direction=H","UseDPDF=Y")</f>
        <v>5.67</v>
      </c>
      <c r="G56" s="13">
        <f>_xll.BDH("AAPL US Equity","IS_EPS","FY 2022","FY 2022","Currency=USD","Period=FY","BEST_FPERIOD_OVERRIDE=FY","FILING_STATUS=MR","FA_ADJUSTED=GAAP","Sort=A","Dates=H","DateFormat=P","Fill=—","Direction=H","UseDPDF=Y")</f>
        <v>6.15</v>
      </c>
      <c r="H56" s="13">
        <f>_xll.BDH("AAPL US Equity","IS_EPS","FY 2023","FY 2023","Currency=USD","Period=FY","BEST_FPERIOD_OVERRIDE=FY","FILING_STATUS=MR","FA_ADJUSTED=GAAP","Sort=A","Dates=H","DateFormat=P","Fill=—","Direction=H","UseDPDF=Y")</f>
        <v>6.16</v>
      </c>
      <c r="I56" s="13">
        <f>_xll.BDH("AAPL US Equity","IS_EPS","FY 2024","FY 2024","Currency=USD","Period=FY","BEST_FPERIOD_OVERRIDE=FY","FILING_STATUS=MR","FA_ADJUSTED=GAAP","Sort=A","Dates=H","DateFormat=P","Fill=—","Direction=H","UseDPDF=Y")</f>
        <v>6.11</v>
      </c>
      <c r="J56" s="15">
        <v>6.6</v>
      </c>
      <c r="K56" s="13">
        <v>7.3620000000000001</v>
      </c>
      <c r="L56" s="13">
        <v>7.8639999999999999</v>
      </c>
    </row>
    <row r="57" spans="1:12" x14ac:dyDescent="0.25">
      <c r="A57" s="10" t="s">
        <v>90</v>
      </c>
      <c r="B57" s="10" t="s">
        <v>91</v>
      </c>
      <c r="C57" s="13">
        <f>_xll.BDH("AAPL US Equity","CASH_FLOW_PER_SH","FY 2018","FY 2018","Currency=USD","Period=FY","BEST_FPERIOD_OVERRIDE=FY","FILING_STATUS=MR","Sort=A","Dates=H","DateFormat=P","Fill=—","Direction=H","UseDPDF=Y")</f>
        <v>3.9066000000000001</v>
      </c>
      <c r="D57" s="13">
        <f>_xll.BDH("AAPL US Equity","CASH_FLOW_PER_SH","FY 2019","FY 2019","Currency=USD","Period=FY","BEST_FPERIOD_OVERRIDE=FY","FILING_STATUS=MR","Sort=A","Dates=H","DateFormat=P","Fill=—","Direction=H","UseDPDF=Y")</f>
        <v>3.7566999999999999</v>
      </c>
      <c r="E57" s="13">
        <f>_xll.BDH("AAPL US Equity","CASH_FLOW_PER_SH","FY 2020","FY 2020","Currency=USD","Period=FY","BEST_FPERIOD_OVERRIDE=FY","FILING_STATUS=MR","Sort=A","Dates=H","DateFormat=P","Fill=—","Direction=H","UseDPDF=Y")</f>
        <v>4.6492000000000004</v>
      </c>
      <c r="F57" s="13">
        <f>_xll.BDH("AAPL US Equity","CASH_FLOW_PER_SH","FY 2021","FY 2021","Currency=USD","Period=FY","BEST_FPERIOD_OVERRIDE=FY","FILING_STATUS=MR","Sort=A","Dates=H","DateFormat=P","Fill=—","Direction=H","UseDPDF=Y")</f>
        <v>6.2293000000000003</v>
      </c>
      <c r="G57" s="13">
        <f>_xll.BDH("AAPL US Equity","CASH_FLOW_PER_SH","FY 2022","FY 2022","Currency=USD","Period=FY","BEST_FPERIOD_OVERRIDE=FY","FILING_STATUS=MR","Sort=A","Dates=H","DateFormat=P","Fill=—","Direction=H","UseDPDF=Y")</f>
        <v>7.5327999999999999</v>
      </c>
      <c r="H57" s="13">
        <f>_xll.BDH("AAPL US Equity","CASH_FLOW_PER_SH","FY 2023","FY 2023","Currency=USD","Period=FY","BEST_FPERIOD_OVERRIDE=FY","FILING_STATUS=MR","Sort=A","Dates=H","DateFormat=P","Fill=—","Direction=H","UseDPDF=Y")</f>
        <v>7.0212000000000003</v>
      </c>
      <c r="I57" s="13">
        <f>_xll.BDH("AAPL US Equity","CASH_FLOW_PER_SH","FY 2024","FY 2024","Currency=USD","Period=FY","BEST_FPERIOD_OVERRIDE=FY","FILING_STATUS=MR","Sort=A","Dates=H","DateFormat=P","Fill=—","Direction=H","UseDPDF=Y")</f>
        <v>7.7069999999999999</v>
      </c>
      <c r="J57" s="15">
        <v>7.2193271671440904</v>
      </c>
      <c r="K57" s="13">
        <v>7.86</v>
      </c>
      <c r="L57" s="13">
        <v>8.9610000000000003</v>
      </c>
    </row>
    <row r="58" spans="1:12" x14ac:dyDescent="0.25">
      <c r="A58" s="10" t="s">
        <v>92</v>
      </c>
      <c r="B58" s="10" t="s">
        <v>93</v>
      </c>
      <c r="C58" s="13">
        <f>_xll.BDH("AAPL US Equity","PE_RATIO","FY 2018","FY 2018","Currency=USD","Period=FY","BEST_FPERIOD_OVERRIDE=FY","FILING_STATUS=MR","Sort=A","Dates=H","DateFormat=P","Fill=—","Direction=H","UseDPDF=Y")</f>
        <v>19.015499999999999</v>
      </c>
      <c r="D58" s="13">
        <f>_xll.BDH("AAPL US Equity","PE_RATIO","FY 2019","FY 2019","Currency=USD","Period=FY","BEST_FPERIOD_OVERRIDE=FY","FILING_STATUS=MR","Sort=A","Dates=H","DateFormat=P","Fill=—","Direction=H","UseDPDF=Y")</f>
        <v>18.411000000000001</v>
      </c>
      <c r="E58" s="13">
        <f>_xll.BDH("AAPL US Equity","PE_RATIO","FY 2020","FY 2020","Currency=USD","Period=FY","BEST_FPERIOD_OVERRIDE=FY","FILING_STATUS=MR","Sort=A","Dates=H","DateFormat=P","Fill=—","Direction=H","UseDPDF=Y")</f>
        <v>34.270299999999999</v>
      </c>
      <c r="F58" s="13">
        <f>_xll.BDH("AAPL US Equity","PE_RATIO","FY 2021","FY 2021","Currency=USD","Period=FY","BEST_FPERIOD_OVERRIDE=FY","FILING_STATUS=MR","Sort=A","Dates=H","DateFormat=P","Fill=—","Direction=H","UseDPDF=Y")</f>
        <v>26.251200000000001</v>
      </c>
      <c r="G58" s="13">
        <f>_xll.BDH("AAPL US Equity","PE_RATIO","FY 2022","FY 2022","Currency=USD","Period=FY","BEST_FPERIOD_OVERRIDE=FY","FILING_STATUS=MR","Sort=A","Dates=H","DateFormat=P","Fill=—","Direction=H","UseDPDF=Y")</f>
        <v>24.6203</v>
      </c>
      <c r="H58" s="13">
        <f>_xll.BDH("AAPL US Equity","PE_RATIO","FY 2023","FY 2023","Currency=USD","Period=FY","BEST_FPERIOD_OVERRIDE=FY","FILING_STATUS=MR","Sort=A","Dates=H","DateFormat=P","Fill=—","Direction=H","UseDPDF=Y")</f>
        <v>27.9299</v>
      </c>
      <c r="I58" s="13">
        <f>_xll.BDH("AAPL US Equity","PE_RATIO","FY 2024","FY 2024","Currency=USD","Period=FY","BEST_FPERIOD_OVERRIDE=FY","FILING_STATUS=MR","Sort=A","Dates=H","DateFormat=P","Fill=—","Direction=H","UseDPDF=Y")</f>
        <v>33.771799999999999</v>
      </c>
      <c r="J58" s="15">
        <v>32.837229299161699</v>
      </c>
      <c r="K58" s="13">
        <v>32.392013039934803</v>
      </c>
      <c r="L58" s="13">
        <v>30.3242624618515</v>
      </c>
    </row>
    <row r="59" spans="1:12" x14ac:dyDescent="0.25">
      <c r="A59" s="10" t="s">
        <v>94</v>
      </c>
      <c r="B59" s="10" t="s">
        <v>95</v>
      </c>
      <c r="C59" s="13">
        <f>_xll.BDH("AAPL US Equity","BEST_PE_RATIO","FY 2018","FY 2018","Currency=USD","Period=FY","BEST_FPERIOD_OVERRIDE=FY","FILING_STATUS=MR","Sort=A","Dates=H","DateFormat=P","Fill=—","Direction=H","UseDPDF=Y")</f>
        <v>18.149999999999999</v>
      </c>
      <c r="D59" s="13">
        <f>_xll.BDH("AAPL US Equity","BEST_PE_RATIO","FY 2019","FY 2019","Currency=USD","Period=FY","BEST_FPERIOD_OVERRIDE=FY","FILING_STATUS=MR","Sort=A","Dates=H","DateFormat=P","Fill=—","Direction=H","UseDPDF=Y")</f>
        <v>18.044</v>
      </c>
      <c r="E59" s="13">
        <f>_xll.BDH("AAPL US Equity","BEST_PE_RATIO","FY 2020","FY 2020","Currency=USD","Period=FY","BEST_FPERIOD_OVERRIDE=FY","FILING_STATUS=MR","Sort=A","Dates=H","DateFormat=P","Fill=—","Direction=H","UseDPDF=Y")</f>
        <v>33.688000000000002</v>
      </c>
      <c r="F59" s="13">
        <f>_xll.BDH("AAPL US Equity","BEST_PE_RATIO","FY 2021","FY 2021","Currency=USD","Period=FY","BEST_FPERIOD_OVERRIDE=FY","FILING_STATUS=MR","Sort=A","Dates=H","DateFormat=P","Fill=—","Direction=H","UseDPDF=Y")</f>
        <v>25.771999999999998</v>
      </c>
      <c r="G59" s="13">
        <f>_xll.BDH("AAPL US Equity","BEST_PE_RATIO","FY 2022","FY 2022","Currency=USD","Period=FY","BEST_FPERIOD_OVERRIDE=FY","FILING_STATUS=MR","Sort=A","Dates=H","DateFormat=P","Fill=—","Direction=H","UseDPDF=Y")</f>
        <v>24.25</v>
      </c>
      <c r="H59" s="13">
        <f>_xll.BDH("AAPL US Equity","BEST_PE_RATIO","FY 2023","FY 2023","Currency=USD","Period=FY","BEST_FPERIOD_OVERRIDE=FY","FILING_STATUS=MR","Sort=A","Dates=H","DateFormat=P","Fill=—","Direction=H","UseDPDF=Y")</f>
        <v>27.937000000000001</v>
      </c>
      <c r="I59" s="13">
        <f>_xll.BDH("AAPL US Equity","BEST_PE_RATIO","FY 2024","FY 2024","Currency=USD","Period=FY","BEST_FPERIOD_OVERRIDE=FY","FILING_STATUS=MR","Sort=A","Dates=H","DateFormat=P","Fill=—","Direction=H","UseDPDF=Y")</f>
        <v>34.156999999999996</v>
      </c>
      <c r="J59" s="15">
        <v>30.624117118274</v>
      </c>
      <c r="K59" s="13">
        <v>32.392013039934803</v>
      </c>
      <c r="L59" s="13">
        <v>30.3242624618515</v>
      </c>
    </row>
    <row r="60" spans="1:12" x14ac:dyDescent="0.25">
      <c r="A60" s="10" t="s">
        <v>96</v>
      </c>
      <c r="B60" s="10" t="s">
        <v>97</v>
      </c>
      <c r="C60" s="13">
        <f>_xll.BDH("AAPL US Equity","BEST_PEG_RATIO","FY 2018","FY 2018","Currency=USD","Period=FY","BEST_FPERIOD_OVERRIDE=FY","FILING_STATUS=MR","Sort=A","Dates=H","DateFormat=P","Fill=—","Direction=H","UseDPDF=Y")</f>
        <v>1.6879999999999999</v>
      </c>
      <c r="D60" s="13">
        <f>_xll.BDH("AAPL US Equity","BEST_PEG_RATIO","FY 2019","FY 2019","Currency=USD","Period=FY","BEST_FPERIOD_OVERRIDE=FY","FILING_STATUS=MR","Sort=A","Dates=H","DateFormat=P","Fill=—","Direction=H","UseDPDF=Y")</f>
        <v>1.835</v>
      </c>
      <c r="E60" s="13">
        <f>_xll.BDH("AAPL US Equity","BEST_PEG_RATIO","FY 2020","FY 2020","Currency=USD","Period=FY","BEST_FPERIOD_OVERRIDE=FY","FILING_STATUS=MR","Sort=A","Dates=H","DateFormat=P","Fill=—","Direction=H","UseDPDF=Y")</f>
        <v>3.5459999999999998</v>
      </c>
      <c r="F60" s="13">
        <f>_xll.BDH("AAPL US Equity","BEST_PEG_RATIO","FY 2021","FY 2021","Currency=USD","Period=FY","BEST_FPERIOD_OVERRIDE=FY","FILING_STATUS=MR","Sort=A","Dates=H","DateFormat=P","Fill=—","Direction=H","UseDPDF=Y")</f>
        <v>2.0129999999999999</v>
      </c>
      <c r="G60" s="13">
        <f>_xll.BDH("AAPL US Equity","BEST_PEG_RATIO","FY 2022","FY 2022","Currency=USD","Period=FY","BEST_FPERIOD_OVERRIDE=FY","FILING_STATUS=MR","Sort=A","Dates=H","DateFormat=P","Fill=—","Direction=H","UseDPDF=Y")</f>
        <v>2.2250000000000001</v>
      </c>
      <c r="H60" s="13">
        <f>_xll.BDH("AAPL US Equity","BEST_PEG_RATIO","FY 2023","FY 2023","Currency=USD","Period=FY","BEST_FPERIOD_OVERRIDE=FY","FILING_STATUS=MR","Sort=A","Dates=H","DateFormat=P","Fill=—","Direction=H","UseDPDF=Y")</f>
        <v>2.6440000000000001</v>
      </c>
      <c r="I60" s="13">
        <f>_xll.BDH("AAPL US Equity","BEST_PEG_RATIO","FY 2024","FY 2024","Currency=USD","Period=FY","BEST_FPERIOD_OVERRIDE=FY","FILING_STATUS=MR","Sort=A","Dates=H","DateFormat=P","Fill=—","Direction=H","UseDPDF=Y")</f>
        <v>4.2510000000000003</v>
      </c>
      <c r="J60" s="15"/>
      <c r="K60" s="13">
        <v>2.2989363406625101</v>
      </c>
      <c r="L60" s="13">
        <v>2.15218328331096</v>
      </c>
    </row>
    <row r="61" spans="1:12" x14ac:dyDescent="0.25">
      <c r="A61" s="10" t="s">
        <v>98</v>
      </c>
      <c r="B61" s="10" t="s">
        <v>99</v>
      </c>
      <c r="C61" s="13">
        <f>_xll.BDH("AAPL US Equity","CURRENT_EV_TO_T12M_EBIT","FY 2018","FY 2018","Currency=USD","Period=FY","BEST_FPERIOD_OVERRIDE=FY","FILING_STATUS=MR","FA_ADJUSTED=GAAP","Sort=A","Dates=H","DateFormat=P","Fill=—","Direction=H","UseDPDF=Y")</f>
        <v>13.649100000000001</v>
      </c>
      <c r="D61" s="13">
        <f>_xll.BDH("AAPL US Equity","CURRENT_EV_TO_T12M_EBIT","FY 2019","FY 2019","Currency=USD","Period=FY","BEST_FPERIOD_OVERRIDE=FY","FILING_STATUS=MR","FA_ADJUSTED=GAAP","Sort=A","Dates=H","DateFormat=P","Fill=—","Direction=H","UseDPDF=Y")</f>
        <v>13.9377</v>
      </c>
      <c r="E61" s="13">
        <f>_xll.BDH("AAPL US Equity","CURRENT_EV_TO_T12M_EBIT","FY 2020","FY 2020","Currency=USD","Period=FY","BEST_FPERIOD_OVERRIDE=FY","FILING_STATUS=MR","FA_ADJUSTED=GAAP","Sort=A","Dates=H","DateFormat=P","Fill=—","Direction=H","UseDPDF=Y")</f>
        <v>27.842300000000002</v>
      </c>
      <c r="F61" s="13">
        <f>_xll.BDH("AAPL US Equity","CURRENT_EV_TO_T12M_EBIT","FY 2021","FY 2021","Currency=USD","Period=FY","BEST_FPERIOD_OVERRIDE=FY","FILING_STATUS=MR","FA_ADJUSTED=GAAP","Sort=A","Dates=H","DateFormat=P","Fill=—","Direction=H","UseDPDF=Y")</f>
        <v>21.755500000000001</v>
      </c>
      <c r="G61" s="13">
        <f>_xll.BDH("AAPL US Equity","CURRENT_EV_TO_T12M_EBIT","FY 2022","FY 2022","Currency=USD","Period=FY","BEST_FPERIOD_OVERRIDE=FY","FILING_STATUS=MR","FA_ADJUSTED=GAAP","Sort=A","Dates=H","DateFormat=P","Fill=—","Direction=H","UseDPDF=Y")</f>
        <v>19.891400000000001</v>
      </c>
      <c r="H61" s="13">
        <f>_xll.BDH("AAPL US Equity","CURRENT_EV_TO_T12M_EBIT","FY 2023","FY 2023","Currency=USD","Period=FY","BEST_FPERIOD_OVERRIDE=FY","FILING_STATUS=MR","FA_ADJUSTED=GAAP","Sort=A","Dates=H","DateFormat=P","Fill=—","Direction=H","UseDPDF=Y")</f>
        <v>23.013999999999999</v>
      </c>
      <c r="I61" s="13">
        <f>_xll.BDH("AAPL US Equity","CURRENT_EV_TO_T12M_EBIT","FY 2024","FY 2024","Currency=USD","Period=FY","BEST_FPERIOD_OVERRIDE=FY","FILING_STATUS=MR","FA_ADJUSTED=GAAP","Sort=A","Dates=H","DateFormat=P","Fill=—","Direction=H","UseDPDF=Y")</f>
        <v>27.721399999999999</v>
      </c>
      <c r="J61" s="15">
        <v>26.9379621492313</v>
      </c>
      <c r="K61" s="13">
        <v>26.620270500425001</v>
      </c>
      <c r="L61" s="13">
        <v>25.230208335056599</v>
      </c>
    </row>
    <row r="62" spans="1:12" x14ac:dyDescent="0.25">
      <c r="A62" s="10" t="s">
        <v>100</v>
      </c>
      <c r="B62" s="10" t="s">
        <v>101</v>
      </c>
      <c r="C62" s="13">
        <f>_xll.BDH("AAPL US Equity","CURRENT_EV_TO_T12M_EBITDA","FY 2018","FY 2018","Currency=USD","Period=FY","BEST_FPERIOD_OVERRIDE=FY","FILING_STATUS=MR","FA_ADJUSTED=GAAP","Sort=A","Dates=H","DateFormat=P","Fill=—","Direction=H","UseDPDF=Y")</f>
        <v>11.829800000000001</v>
      </c>
      <c r="D62" s="13">
        <f>_xll.BDH("AAPL US Equity","CURRENT_EV_TO_T12M_EBITDA","FY 2019","FY 2019","Currency=USD","Period=FY","BEST_FPERIOD_OVERRIDE=FY","FILING_STATUS=MR","FA_ADJUSTED=GAAP","Sort=A","Dates=H","DateFormat=P","Fill=—","Direction=H","UseDPDF=Y")</f>
        <v>11.651</v>
      </c>
      <c r="E62" s="13">
        <f>_xll.BDH("AAPL US Equity","CURRENT_EV_TO_T12M_EBITDA","FY 2020","FY 2020","Currency=USD","Period=FY","BEST_FPERIOD_OVERRIDE=FY","FILING_STATUS=MR","FA_ADJUSTED=GAAP","Sort=A","Dates=H","DateFormat=P","Fill=—","Direction=H","UseDPDF=Y")</f>
        <v>23.473199999999999</v>
      </c>
      <c r="F62" s="13">
        <f>_xll.BDH("AAPL US Equity","CURRENT_EV_TO_T12M_EBITDA","FY 2021","FY 2021","Currency=USD","Period=FY","BEST_FPERIOD_OVERRIDE=FY","FILING_STATUS=MR","FA_ADJUSTED=GAAP","Sort=A","Dates=H","DateFormat=P","Fill=—","Direction=H","UseDPDF=Y")</f>
        <v>19.474799999999998</v>
      </c>
      <c r="G62" s="13">
        <f>_xll.BDH("AAPL US Equity","CURRENT_EV_TO_T12M_EBITDA","FY 2022","FY 2022","Currency=USD","Period=FY","BEST_FPERIOD_OVERRIDE=FY","FILING_STATUS=MR","FA_ADJUSTED=GAAP","Sort=A","Dates=H","DateFormat=P","Fill=—","Direction=H","UseDPDF=Y")</f>
        <v>17.977</v>
      </c>
      <c r="H62" s="13">
        <f>_xll.BDH("AAPL US Equity","CURRENT_EV_TO_T12M_EBITDA","FY 2023","FY 2023","Currency=USD","Period=FY","BEST_FPERIOD_OVERRIDE=FY","FILING_STATUS=MR","FA_ADJUSTED=GAAP","Sort=A","Dates=H","DateFormat=P","Fill=—","Direction=H","UseDPDF=Y")</f>
        <v>20.642800000000001</v>
      </c>
      <c r="I62" s="13">
        <f>_xll.BDH("AAPL US Equity","CURRENT_EV_TO_T12M_EBITDA","FY 2024","FY 2024","Currency=USD","Period=FY","BEST_FPERIOD_OVERRIDE=FY","FILING_STATUS=MR","FA_ADJUSTED=GAAP","Sort=A","Dates=H","DateFormat=P","Fill=—","Direction=H","UseDPDF=Y")</f>
        <v>25.067599999999999</v>
      </c>
      <c r="J62" s="15">
        <v>24.7551081420788</v>
      </c>
      <c r="K62" s="13">
        <v>24.170041026781298</v>
      </c>
      <c r="L62" s="13">
        <v>22.858225188427099</v>
      </c>
    </row>
    <row r="63" spans="1:12" x14ac:dyDescent="0.25">
      <c r="A63" s="10" t="s">
        <v>102</v>
      </c>
      <c r="B63" s="10" t="s">
        <v>103</v>
      </c>
      <c r="C63" s="13">
        <f>_xll.BDH("AAPL US Equity","PX_TO_BOOK_RATIO","FY 2018","FY 2018","Currency=USD","Period=FY","BEST_FPERIOD_OVERRIDE=FY","FILING_STATUS=MR","Sort=A","Dates=H","DateFormat=P","Fill=—","Direction=H","UseDPDF=Y")</f>
        <v>10.017899999999999</v>
      </c>
      <c r="D63" s="13">
        <f>_xll.BDH("AAPL US Equity","PX_TO_BOOK_RATIO","FY 2019","FY 2019","Currency=USD","Period=FY","BEST_FPERIOD_OVERRIDE=FY","FILING_STATUS=MR","Sort=A","Dates=H","DateFormat=P","Fill=—","Direction=H","UseDPDF=Y")</f>
        <v>10.7447</v>
      </c>
      <c r="E63" s="13">
        <f>_xll.BDH("AAPL US Equity","PX_TO_BOOK_RATIO","FY 2020","FY 2020","Currency=USD","Period=FY","BEST_FPERIOD_OVERRIDE=FY","FILING_STATUS=MR","Sort=A","Dates=H","DateFormat=P","Fill=—","Direction=H","UseDPDF=Y")</f>
        <v>29.173200000000001</v>
      </c>
      <c r="F63" s="13">
        <f>_xll.BDH("AAPL US Equity","PX_TO_BOOK_RATIO","FY 2021","FY 2021","Currency=USD","Period=FY","BEST_FPERIOD_OVERRIDE=FY","FILING_STATUS=MR","Sort=A","Dates=H","DateFormat=P","Fill=—","Direction=H","UseDPDF=Y")</f>
        <v>38.253700000000002</v>
      </c>
      <c r="G63" s="13">
        <f>_xll.BDH("AAPL US Equity","PX_TO_BOOK_RATIO","FY 2022","FY 2022","Currency=USD","Period=FY","BEST_FPERIOD_OVERRIDE=FY","FILING_STATUS=MR","Sort=A","Dates=H","DateFormat=P","Fill=—","Direction=H","UseDPDF=Y")</f>
        <v>47.331299999999999</v>
      </c>
      <c r="H63" s="13">
        <f>_xll.BDH("AAPL US Equity","PX_TO_BOOK_RATIO","FY 2023","FY 2023","Currency=USD","Period=FY","BEST_FPERIOD_OVERRIDE=FY","FILING_STATUS=MR","Sort=A","Dates=H","DateFormat=P","Fill=—","Direction=H","UseDPDF=Y")</f>
        <v>42.8399</v>
      </c>
      <c r="I63" s="13">
        <f>_xll.BDH("AAPL US Equity","PX_TO_BOOK_RATIO","FY 2024","FY 2024","Currency=USD","Period=FY","BEST_FPERIOD_OVERRIDE=FY","FILING_STATUS=MR","Sort=A","Dates=H","DateFormat=P","Fill=—","Direction=H","UseDPDF=Y")</f>
        <v>60.464500000000001</v>
      </c>
      <c r="J63" s="15">
        <v>53.818661909093798</v>
      </c>
      <c r="K63" s="13">
        <v>55.992016905376801</v>
      </c>
      <c r="L63" s="13">
        <v>47.5798084596967</v>
      </c>
    </row>
    <row r="64" spans="1:12" x14ac:dyDescent="0.25">
      <c r="A64" s="10" t="s">
        <v>104</v>
      </c>
      <c r="B64" s="10" t="s">
        <v>105</v>
      </c>
      <c r="C64" s="13">
        <f>_xll.BDH("AAPL US Equity","BOOK_VAL_PER_SH","FY 2018","FY 2018","Currency=USD","Period=FY","BEST_FPERIOD_OVERRIDE=FY","FILING_STATUS=MR","Sort=A","Dates=H","DateFormat=P","Fill=—","Direction=H","UseDPDF=Y")</f>
        <v>5.6334</v>
      </c>
      <c r="D64" s="13">
        <f>_xll.BDH("AAPL US Equity","BOOK_VAL_PER_SH","FY 2019","FY 2019","Currency=USD","Period=FY","BEST_FPERIOD_OVERRIDE=FY","FILING_STATUS=MR","Sort=A","Dates=H","DateFormat=P","Fill=—","Direction=H","UseDPDF=Y")</f>
        <v>5.0913000000000004</v>
      </c>
      <c r="E64" s="13">
        <f>_xll.BDH("AAPL US Equity","BOOK_VAL_PER_SH","FY 2020","FY 2020","Currency=USD","Period=FY","BEST_FPERIOD_OVERRIDE=FY","FILING_STATUS=MR","Sort=A","Dates=H","DateFormat=P","Fill=—","Direction=H","UseDPDF=Y")</f>
        <v>3.8487</v>
      </c>
      <c r="F64" s="13">
        <f>_xll.BDH("AAPL US Equity","BOOK_VAL_PER_SH","FY 2021","FY 2021","Currency=USD","Period=FY","BEST_FPERIOD_OVERRIDE=FY","FILING_STATUS=MR","Sort=A","Dates=H","DateFormat=P","Fill=—","Direction=H","UseDPDF=Y")</f>
        <v>3.8407</v>
      </c>
      <c r="G64" s="13">
        <f>_xll.BDH("AAPL US Equity","BOOK_VAL_PER_SH","FY 2022","FY 2022","Currency=USD","Period=FY","BEST_FPERIOD_OVERRIDE=FY","FILING_STATUS=MR","Sort=A","Dates=H","DateFormat=P","Fill=—","Direction=H","UseDPDF=Y")</f>
        <v>3.1781999999999999</v>
      </c>
      <c r="H64" s="13">
        <f>_xll.BDH("AAPL US Equity","BOOK_VAL_PER_SH","FY 2023","FY 2023","Currency=USD","Period=FY","BEST_FPERIOD_OVERRIDE=FY","FILING_STATUS=MR","Sort=A","Dates=H","DateFormat=P","Fill=—","Direction=H","UseDPDF=Y")</f>
        <v>3.9965000000000002</v>
      </c>
      <c r="I64" s="13">
        <f>_xll.BDH("AAPL US Equity","BOOK_VAL_PER_SH","FY 2024","FY 2024","Currency=USD","Period=FY","BEST_FPERIOD_OVERRIDE=FY","FILING_STATUS=MR","Sort=A","Dates=H","DateFormat=P","Fill=—","Direction=H","UseDPDF=Y")</f>
        <v>3.7673000000000001</v>
      </c>
      <c r="J64" s="15">
        <v>4.4309909009537902</v>
      </c>
      <c r="K64" s="13">
        <v>4.2590000000000003</v>
      </c>
      <c r="L64" s="13">
        <v>5.0119999999999996</v>
      </c>
    </row>
    <row r="65" spans="1:12" x14ac:dyDescent="0.25">
      <c r="A65" s="10" t="s">
        <v>106</v>
      </c>
      <c r="B65" s="10" t="s">
        <v>107</v>
      </c>
      <c r="C65" s="13" t="str">
        <f>_xll.BDH("AAPL US Equity","FUND_NET_ASSET_VAL","FY 2018","FY 2018","Currency=USD","Period=FY","BEST_FPERIOD_OVERRIDE=FY","FILING_STATUS=MR","Sort=A","Dates=H","DateFormat=P","Fill=—","Direction=H","UseDPDF=Y")</f>
        <v>—</v>
      </c>
      <c r="D65" s="13" t="str">
        <f>_xll.BDH("AAPL US Equity","FUND_NET_ASSET_VAL","FY 2019","FY 2019","Currency=USD","Period=FY","BEST_FPERIOD_OVERRIDE=FY","FILING_STATUS=MR","Sort=A","Dates=H","DateFormat=P","Fill=—","Direction=H","UseDPDF=Y")</f>
        <v>—</v>
      </c>
      <c r="E65" s="13" t="str">
        <f>_xll.BDH("AAPL US Equity","FUND_NET_ASSET_VAL","FY 2020","FY 2020","Currency=USD","Period=FY","BEST_FPERIOD_OVERRIDE=FY","FILING_STATUS=MR","Sort=A","Dates=H","DateFormat=P","Fill=—","Direction=H","UseDPDF=Y")</f>
        <v>—</v>
      </c>
      <c r="F65" s="13" t="str">
        <f>_xll.BDH("AAPL US Equity","FUND_NET_ASSET_VAL","FY 2021","FY 2021","Currency=USD","Period=FY","BEST_FPERIOD_OVERRIDE=FY","FILING_STATUS=MR","Sort=A","Dates=H","DateFormat=P","Fill=—","Direction=H","UseDPDF=Y")</f>
        <v>—</v>
      </c>
      <c r="G65" s="13" t="str">
        <f>_xll.BDH("AAPL US Equity","FUND_NET_ASSET_VAL","FY 2022","FY 2022","Currency=USD","Period=FY","BEST_FPERIOD_OVERRIDE=FY","FILING_STATUS=MR","Sort=A","Dates=H","DateFormat=P","Fill=—","Direction=H","UseDPDF=Y")</f>
        <v>—</v>
      </c>
      <c r="H65" s="13" t="str">
        <f>_xll.BDH("AAPL US Equity","FUND_NET_ASSET_VAL","FY 2023","FY 2023","Currency=USD","Period=FY","BEST_FPERIOD_OVERRIDE=FY","FILING_STATUS=MR","Sort=A","Dates=H","DateFormat=P","Fill=—","Direction=H","UseDPDF=Y")</f>
        <v>—</v>
      </c>
      <c r="I65" s="13" t="str">
        <f>_xll.BDH("AAPL US Equity","FUND_NET_ASSET_VAL","FY 2024","FY 2024","Currency=USD","Period=FY","BEST_FPERIOD_OVERRIDE=FY","FILING_STATUS=MR","Sort=A","Dates=H","DateFormat=P","Fill=—","Direction=H","UseDPDF=Y")</f>
        <v>—</v>
      </c>
      <c r="J65" s="15">
        <v>0</v>
      </c>
      <c r="K65" s="13"/>
      <c r="L65" s="13"/>
    </row>
    <row r="66" spans="1:12" x14ac:dyDescent="0.25">
      <c r="A66" s="10" t="s">
        <v>108</v>
      </c>
      <c r="B66" s="10" t="s">
        <v>109</v>
      </c>
      <c r="C66" s="13">
        <f>_xll.BDH("AAPL US Equity","PX_TO_SALES_RATIO","FY 2018","FY 2018","Currency=USD","Period=FY","BEST_FPERIOD_OVERRIDE=FY","FILING_STATUS=MR","FA_ADJUSTED=GAAP","Sort=A","Dates=H","DateFormat=P","Fill=—","Direction=H","UseDPDF=Y")</f>
        <v>4.2118000000000002</v>
      </c>
      <c r="D66" s="13">
        <f>_xll.BDH("AAPL US Equity","PX_TO_SALES_RATIO","FY 2019","FY 2019","Currency=USD","Period=FY","BEST_FPERIOD_OVERRIDE=FY","FILING_STATUS=MR","FA_ADJUSTED=GAAP","Sort=A","Dates=H","DateFormat=P","Fill=—","Direction=H","UseDPDF=Y")</f>
        <v>3.8837999999999999</v>
      </c>
      <c r="E66" s="13">
        <f>_xll.BDH("AAPL US Equity","PX_TO_SALES_RATIO","FY 2020","FY 2020","Currency=USD","Period=FY","BEST_FPERIOD_OVERRIDE=FY","FILING_STATUS=MR","FA_ADJUSTED=GAAP","Sort=A","Dates=H","DateFormat=P","Fill=—","Direction=H","UseDPDF=Y")</f>
        <v>7.0972</v>
      </c>
      <c r="F66" s="13">
        <f>_xll.BDH("AAPL US Equity","PX_TO_SALES_RATIO","FY 2021","FY 2021","Currency=USD","Period=FY","BEST_FPERIOD_OVERRIDE=FY","FILING_STATUS=MR","FA_ADJUSTED=GAAP","Sort=A","Dates=H","DateFormat=P","Fill=—","Direction=H","UseDPDF=Y")</f>
        <v>6.7076000000000002</v>
      </c>
      <c r="G66" s="13">
        <f>_xll.BDH("AAPL US Equity","PX_TO_SALES_RATIO","FY 2022","FY 2022","Currency=USD","Period=FY","BEST_FPERIOD_OVERRIDE=FY","FILING_STATUS=MR","FA_ADJUSTED=GAAP","Sort=A","Dates=H","DateFormat=P","Fill=—","Direction=H","UseDPDF=Y")</f>
        <v>6.1860999999999997</v>
      </c>
      <c r="H66" s="13">
        <f>_xll.BDH("AAPL US Equity","PX_TO_SALES_RATIO","FY 2023","FY 2023","Currency=USD","Period=FY","BEST_FPERIOD_OVERRIDE=FY","FILING_STATUS=MR","FA_ADJUSTED=GAAP","Sort=A","Dates=H","DateFormat=P","Fill=—","Direction=H","UseDPDF=Y")</f>
        <v>7.0327999999999999</v>
      </c>
      <c r="I66" s="13">
        <f>_xll.BDH("AAPL US Equity","PX_TO_SALES_RATIO","FY 2024","FY 2024","Currency=USD","Period=FY","BEST_FPERIOD_OVERRIDE=FY","FILING_STATUS=MR","FA_ADJUSTED=GAAP","Sort=A","Dates=H","DateFormat=P","Fill=—","Direction=H","UseDPDF=Y")</f>
        <v>8.9382000000000001</v>
      </c>
      <c r="J66" s="15">
        <v>8.7774824141216001</v>
      </c>
      <c r="K66" s="13">
        <v>8.5385792932011899</v>
      </c>
      <c r="L66" s="13">
        <v>8.0944407317540499</v>
      </c>
    </row>
    <row r="67" spans="1:12" x14ac:dyDescent="0.25">
      <c r="A67" s="10" t="s">
        <v>110</v>
      </c>
      <c r="B67" s="10" t="s">
        <v>111</v>
      </c>
      <c r="C67" s="13">
        <f>_xll.BDH("AAPL US Equity","BEST_CURRENT_EV_BEST_SALES","FY 2018","FY 2018","Currency=USD","Period=FY","BEST_FPERIOD_OVERRIDE=FY","FILING_STATUS=MR","Sort=A","Dates=H","DateFormat=P","Fill=—","Direction=H","UseDPDF=Y")</f>
        <v>3.6549999999999998</v>
      </c>
      <c r="D67" s="13">
        <f>_xll.BDH("AAPL US Equity","BEST_CURRENT_EV_BEST_SALES","FY 2019","FY 2019","Currency=USD","Period=FY","BEST_FPERIOD_OVERRIDE=FY","FILING_STATUS=MR","Sort=A","Dates=H","DateFormat=P","Fill=—","Direction=H","UseDPDF=Y")</f>
        <v>3.44</v>
      </c>
      <c r="E67" s="13">
        <f>_xll.BDH("AAPL US Equity","BEST_CURRENT_EV_BEST_SALES","FY 2020","FY 2020","Currency=USD","Period=FY","BEST_FPERIOD_OVERRIDE=FY","FILING_STATUS=MR","Sort=A","Dates=H","DateFormat=P","Fill=—","Direction=H","UseDPDF=Y")</f>
        <v>6.7759999999999998</v>
      </c>
      <c r="F67" s="13">
        <f>_xll.BDH("AAPL US Equity","BEST_CURRENT_EV_BEST_SALES","FY 2021","FY 2021","Currency=USD","Period=FY","BEST_FPERIOD_OVERRIDE=FY","FILING_STATUS=MR","Sort=A","Dates=H","DateFormat=P","Fill=—","Direction=H","UseDPDF=Y")</f>
        <v>6.4770000000000003</v>
      </c>
      <c r="G67" s="13">
        <f>_xll.BDH("AAPL US Equity","BEST_CURRENT_EV_BEST_SALES","FY 2022","FY 2022","Currency=USD","Period=FY","BEST_FPERIOD_OVERRIDE=FY","FILING_STATUS=MR","Sort=A","Dates=H","DateFormat=P","Fill=—","Direction=H","UseDPDF=Y")</f>
        <v>6.0609999999999999</v>
      </c>
      <c r="H67" s="13">
        <f>_xll.BDH("AAPL US Equity","BEST_CURRENT_EV_BEST_SALES","FY 2023","FY 2023","Currency=USD","Period=FY","BEST_FPERIOD_OVERRIDE=FY","FILING_STATUS=MR","Sort=A","Dates=H","DateFormat=P","Fill=—","Direction=H","UseDPDF=Y")</f>
        <v>6.8879999999999999</v>
      </c>
      <c r="I67" s="13">
        <f>_xll.BDH("AAPL US Equity","BEST_CURRENT_EV_BEST_SALES","FY 2024","FY 2024","Currency=USD","Period=FY","BEST_FPERIOD_OVERRIDE=FY","FILING_STATUS=MR","Sort=A","Dates=H","DateFormat=P","Fill=—","Direction=H","UseDPDF=Y")</f>
        <v>8.7780000000000005</v>
      </c>
      <c r="J67" s="15">
        <v>8.1345632836070401</v>
      </c>
      <c r="K67" s="13">
        <v>8.4630901749004099</v>
      </c>
      <c r="L67" s="13">
        <v>8.0228782184838892</v>
      </c>
    </row>
    <row r="68" spans="1:12" x14ac:dyDescent="0.25">
      <c r="A68" s="10" t="s">
        <v>112</v>
      </c>
      <c r="B68" s="10" t="s">
        <v>113</v>
      </c>
      <c r="C68" s="13">
        <f>_xll.BDH("AAPL US Equity","CURRENT_EV_TO_12M_SALES","FY 2018","FY 2018","Currency=USD","Period=FY","BEST_FPERIOD_OVERRIDE=FY","FILING_STATUS=MR","FA_ADJUSTED=GAAP","Sort=A","Dates=H","DateFormat=P","Fill=—","Direction=H","UseDPDF=Y")</f>
        <v>3.6435</v>
      </c>
      <c r="D68" s="13">
        <f>_xll.BDH("AAPL US Equity","CURRENT_EV_TO_12M_SALES","FY 2019","FY 2019","Currency=USD","Period=FY","BEST_FPERIOD_OVERRIDE=FY","FILING_STATUS=MR","FA_ADJUSTED=GAAP","Sort=A","Dates=H","DateFormat=P","Fill=—","Direction=H","UseDPDF=Y")</f>
        <v>3.4247999999999998</v>
      </c>
      <c r="E68" s="13">
        <f>_xll.BDH("AAPL US Equity","CURRENT_EV_TO_12M_SALES","FY 2020","FY 2020","Currency=USD","Period=FY","BEST_FPERIOD_OVERRIDE=FY","FILING_STATUS=MR","FA_ADJUSTED=GAAP","Sort=A","Dates=H","DateFormat=P","Fill=—","Direction=H","UseDPDF=Y")</f>
        <v>6.7417999999999996</v>
      </c>
      <c r="F68" s="13">
        <f>_xll.BDH("AAPL US Equity","CURRENT_EV_TO_12M_SALES","FY 2021","FY 2021","Currency=USD","Period=FY","BEST_FPERIOD_OVERRIDE=FY","FILING_STATUS=MR","FA_ADJUSTED=GAAP","Sort=A","Dates=H","DateFormat=P","Fill=—","Direction=H","UseDPDF=Y")</f>
        <v>6.4912999999999998</v>
      </c>
      <c r="G68" s="13">
        <f>_xll.BDH("AAPL US Equity","CURRENT_EV_TO_12M_SALES","FY 2022","FY 2022","Currency=USD","Period=FY","BEST_FPERIOD_OVERRIDE=FY","FILING_STATUS=MR","FA_ADJUSTED=GAAP","Sort=A","Dates=H","DateFormat=P","Fill=—","Direction=H","UseDPDF=Y")</f>
        <v>6.0378999999999996</v>
      </c>
      <c r="H68" s="13">
        <f>_xll.BDH("AAPL US Equity","CURRENT_EV_TO_12M_SALES","FY 2023","FY 2023","Currency=USD","Period=FY","BEST_FPERIOD_OVERRIDE=FY","FILING_STATUS=MR","FA_ADJUSTED=GAAP","Sort=A","Dates=H","DateFormat=P","Fill=—","Direction=H","UseDPDF=Y")</f>
        <v>6.8841000000000001</v>
      </c>
      <c r="I68" s="13">
        <f>_xll.BDH("AAPL US Equity","CURRENT_EV_TO_12M_SALES","FY 2024","FY 2024","Currency=USD","Period=FY","BEST_FPERIOD_OVERRIDE=FY","FILING_STATUS=MR","FA_ADJUSTED=GAAP","Sort=A","Dates=H","DateFormat=P","Fill=—","Direction=H","UseDPDF=Y")</f>
        <v>8.7606999999999999</v>
      </c>
      <c r="J68" s="15">
        <v>8.5841536942184096</v>
      </c>
      <c r="K68" s="13">
        <v>8.4630901756242203</v>
      </c>
      <c r="L68" s="13">
        <v>8.0228782191700603</v>
      </c>
    </row>
    <row r="69" spans="1:12" x14ac:dyDescent="0.25">
      <c r="A69" s="10" t="s">
        <v>114</v>
      </c>
      <c r="B69" s="10" t="s">
        <v>115</v>
      </c>
      <c r="C69" s="13">
        <f>_xll.BDH("AAPL US Equity","PX_TO_CASH_FLOW","FY 2018","FY 2018","Currency=USD","Period=FY","BEST_FPERIOD_OVERRIDE=FY","FILING_STATUS=MR","Sort=A","Dates=H","DateFormat=P","Fill=—","Direction=H","UseDPDF=Y")</f>
        <v>14.446199999999999</v>
      </c>
      <c r="D69" s="13">
        <f>_xll.BDH("AAPL US Equity","PX_TO_CASH_FLOW","FY 2019","FY 2019","Currency=USD","Period=FY","BEST_FPERIOD_OVERRIDE=FY","FILING_STATUS=MR","Sort=A","Dates=H","DateFormat=P","Fill=—","Direction=H","UseDPDF=Y")</f>
        <v>14.561999999999999</v>
      </c>
      <c r="E69" s="13">
        <f>_xll.BDH("AAPL US Equity","PX_TO_CASH_FLOW","FY 2020","FY 2020","Currency=USD","Period=FY","BEST_FPERIOD_OVERRIDE=FY","FILING_STATUS=MR","Sort=A","Dates=H","DateFormat=P","Fill=—","Direction=H","UseDPDF=Y")</f>
        <v>24.150200000000002</v>
      </c>
      <c r="F69" s="13">
        <f>_xll.BDH("AAPL US Equity","PX_TO_CASH_FLOW","FY 2021","FY 2021","Currency=USD","Period=FY","BEST_FPERIOD_OVERRIDE=FY","FILING_STATUS=MR","Sort=A","Dates=H","DateFormat=P","Fill=—","Direction=H","UseDPDF=Y")</f>
        <v>23.585100000000001</v>
      </c>
      <c r="G69" s="13">
        <f>_xll.BDH("AAPL US Equity","PX_TO_CASH_FLOW","FY 2022","FY 2022","Currency=USD","Period=FY","BEST_FPERIOD_OVERRIDE=FY","FILING_STATUS=MR","Sort=A","Dates=H","DateFormat=P","Fill=—","Direction=H","UseDPDF=Y")</f>
        <v>19.970099999999999</v>
      </c>
      <c r="H69" s="13">
        <f>_xll.BDH("AAPL US Equity","PX_TO_CASH_FLOW","FY 2023","FY 2023","Currency=USD","Period=FY","BEST_FPERIOD_OVERRIDE=FY","FILING_STATUS=MR","Sort=A","Dates=H","DateFormat=P","Fill=—","Direction=H","UseDPDF=Y")</f>
        <v>24.384799999999998</v>
      </c>
      <c r="I69" s="13">
        <f>_xll.BDH("AAPL US Equity","PX_TO_CASH_FLOW","FY 2024","FY 2024","Currency=USD","Period=FY","BEST_FPERIOD_OVERRIDE=FY","FILING_STATUS=MR","Sort=A","Dates=H","DateFormat=P","Fill=—","Direction=H","UseDPDF=Y")</f>
        <v>29.5564</v>
      </c>
      <c r="J69" s="15">
        <v>33.032164313871903</v>
      </c>
      <c r="K69" s="13">
        <v>30.339694656488501</v>
      </c>
      <c r="L69" s="13">
        <v>26.611985269501201</v>
      </c>
    </row>
    <row r="70" spans="1:12" x14ac:dyDescent="0.25">
      <c r="A70" s="10" t="s">
        <v>116</v>
      </c>
      <c r="B70" s="10" t="s">
        <v>117</v>
      </c>
      <c r="C70" s="13">
        <f>_xll.BDH("AAPL US Equity","IS_DIV_PER_SHR","FY 2018","FY 2018","Currency=USD","Period=FY","BEST_FPERIOD_OVERRIDE=FY","FILING_STATUS=MR","Sort=A","Dates=H","DateFormat=P","Fill=—","Direction=H","UseDPDF=Y")</f>
        <v>0.68</v>
      </c>
      <c r="D70" s="13">
        <f>_xll.BDH("AAPL US Equity","IS_DIV_PER_SHR","FY 2019","FY 2019","Currency=USD","Period=FY","BEST_FPERIOD_OVERRIDE=FY","FILING_STATUS=MR","Sort=A","Dates=H","DateFormat=P","Fill=—","Direction=H","UseDPDF=Y")</f>
        <v>0.75</v>
      </c>
      <c r="E70" s="13">
        <f>_xll.BDH("AAPL US Equity","IS_DIV_PER_SHR","FY 2020","FY 2020","Currency=USD","Period=FY","BEST_FPERIOD_OVERRIDE=FY","FILING_STATUS=MR","Sort=A","Dates=H","DateFormat=P","Fill=—","Direction=H","UseDPDF=Y")</f>
        <v>0.79500000000000004</v>
      </c>
      <c r="F70" s="13">
        <f>_xll.BDH("AAPL US Equity","IS_DIV_PER_SHR","FY 2021","FY 2021","Currency=USD","Period=FY","BEST_FPERIOD_OVERRIDE=FY","FILING_STATUS=MR","Sort=A","Dates=H","DateFormat=P","Fill=—","Direction=H","UseDPDF=Y")</f>
        <v>0.86499999999999999</v>
      </c>
      <c r="G70" s="13">
        <f>_xll.BDH("AAPL US Equity","IS_DIV_PER_SHR","FY 2022","FY 2022","Currency=USD","Period=FY","BEST_FPERIOD_OVERRIDE=FY","FILING_STATUS=MR","Sort=A","Dates=H","DateFormat=P","Fill=—","Direction=H","UseDPDF=Y")</f>
        <v>0.9</v>
      </c>
      <c r="H70" s="13">
        <f>_xll.BDH("AAPL US Equity","IS_DIV_PER_SHR","FY 2023","FY 2023","Currency=USD","Period=FY","BEST_FPERIOD_OVERRIDE=FY","FILING_STATUS=MR","Sort=A","Dates=H","DateFormat=P","Fill=—","Direction=H","UseDPDF=Y")</f>
        <v>0.94</v>
      </c>
      <c r="I70" s="13">
        <f>_xll.BDH("AAPL US Equity","IS_DIV_PER_SHR","FY 2024","FY 2024","Currency=USD","Period=FY","BEST_FPERIOD_OVERRIDE=FY","FILING_STATUS=MR","Sort=A","Dates=H","DateFormat=P","Fill=—","Direction=H","UseDPDF=Y")</f>
        <v>0.98</v>
      </c>
      <c r="J70" s="15">
        <v>1.01</v>
      </c>
      <c r="K70" s="13"/>
      <c r="L70" s="13"/>
    </row>
    <row r="71" spans="1:12" x14ac:dyDescent="0.25">
      <c r="A71" s="10" t="s">
        <v>118</v>
      </c>
      <c r="B71" s="10" t="s">
        <v>119</v>
      </c>
      <c r="C71" s="13">
        <f>_xll.BDH("AAPL US Equity","EQY_DVD_YLD_IND","FY 2018","FY 2018","Currency=USD","Period=FY","BEST_FPERIOD_OVERRIDE=FY","FILING_STATUS=MR","Sort=A","Dates=H","DateFormat=P","Fill=—","Direction=H","UseDPDF=Y")</f>
        <v>1.3637999999999999</v>
      </c>
      <c r="D71" s="13">
        <f>_xll.BDH("AAPL US Equity","EQY_DVD_YLD_IND","FY 2019","FY 2019","Currency=USD","Period=FY","BEST_FPERIOD_OVERRIDE=FY","FILING_STATUS=MR","Sort=A","Dates=H","DateFormat=P","Fill=—","Direction=H","UseDPDF=Y")</f>
        <v>1.4614</v>
      </c>
      <c r="E71" s="13">
        <f>_xll.BDH("AAPL US Equity","EQY_DVD_YLD_IND","FY 2020","FY 2020","Currency=USD","Period=FY","BEST_FPERIOD_OVERRIDE=FY","FILING_STATUS=MR","Sort=A","Dates=H","DateFormat=P","Fill=—","Direction=H","UseDPDF=Y")</f>
        <v>0.75080000000000002</v>
      </c>
      <c r="F71" s="13">
        <f>_xll.BDH("AAPL US Equity","EQY_DVD_YLD_IND","FY 2021","FY 2021","Currency=USD","Period=FY","BEST_FPERIOD_OVERRIDE=FY","FILING_STATUS=MR","Sort=A","Dates=H","DateFormat=P","Fill=—","Direction=H","UseDPDF=Y")</f>
        <v>0.61180000000000001</v>
      </c>
      <c r="G71" s="13">
        <f>_xll.BDH("AAPL US Equity","EQY_DVD_YLD_IND","FY 2022","FY 2022","Currency=USD","Period=FY","BEST_FPERIOD_OVERRIDE=FY","FILING_STATUS=MR","Sort=A","Dates=H","DateFormat=P","Fill=—","Direction=H","UseDPDF=Y")</f>
        <v>0.62119999999999997</v>
      </c>
      <c r="H71" s="13">
        <f>_xll.BDH("AAPL US Equity","EQY_DVD_YLD_IND","FY 2023","FY 2023","Currency=USD","Period=FY","BEST_FPERIOD_OVERRIDE=FY","FILING_STATUS=MR","Sort=A","Dates=H","DateFormat=P","Fill=—","Direction=H","UseDPDF=Y")</f>
        <v>0.56620000000000004</v>
      </c>
      <c r="I71" s="13">
        <f>_xll.BDH("AAPL US Equity","EQY_DVD_YLD_IND","FY 2024","FY 2024","Currency=USD","Period=FY","BEST_FPERIOD_OVERRIDE=FY","FILING_STATUS=MR","Sort=A","Dates=H","DateFormat=P","Fill=—","Direction=H","UseDPDF=Y")</f>
        <v>0.441</v>
      </c>
      <c r="J71" s="15">
        <v>0.43609525404772997</v>
      </c>
      <c r="K71" s="13"/>
      <c r="L71" s="13"/>
    </row>
    <row r="72" spans="1:12" x14ac:dyDescent="0.25">
      <c r="A72" s="10" t="s">
        <v>120</v>
      </c>
      <c r="B72" s="10" t="s">
        <v>121</v>
      </c>
      <c r="C72" s="13">
        <f>_xll.BDH("AAPL US Equity","DVD_PAYOUT_RATIO","FY 2018","FY 2018","Currency=USD","Period=FY","BEST_FPERIOD_OVERRIDE=FY","FILING_STATUS=MR","FA_ADJUSTED=GAAP","Sort=A","Dates=H","DateFormat=P","Fill=—","Direction=H","UseDPDF=Y")</f>
        <v>22.641400000000001</v>
      </c>
      <c r="D72" s="13">
        <f>_xll.BDH("AAPL US Equity","DVD_PAYOUT_RATIO","FY 2019","FY 2019","Currency=USD","Period=FY","BEST_FPERIOD_OVERRIDE=FY","FILING_STATUS=MR","FA_ADJUSTED=GAAP","Sort=A","Dates=H","DateFormat=P","Fill=—","Direction=H","UseDPDF=Y")</f>
        <v>25.0715</v>
      </c>
      <c r="E72" s="13">
        <f>_xll.BDH("AAPL US Equity","DVD_PAYOUT_RATIO","FY 2020","FY 2020","Currency=USD","Period=FY","BEST_FPERIOD_OVERRIDE=FY","FILING_STATUS=MR","FA_ADJUSTED=GAAP","Sort=A","Dates=H","DateFormat=P","Fill=—","Direction=H","UseDPDF=Y")</f>
        <v>24.028400000000001</v>
      </c>
      <c r="F72" s="13">
        <f>_xll.BDH("AAPL US Equity","DVD_PAYOUT_RATIO","FY 2021","FY 2021","Currency=USD","Period=FY","BEST_FPERIOD_OVERRIDE=FY","FILING_STATUS=MR","FA_ADJUSTED=GAAP","Sort=A","Dates=H","DateFormat=P","Fill=—","Direction=H","UseDPDF=Y")</f>
        <v>15.2583</v>
      </c>
      <c r="G72" s="13">
        <f>_xll.BDH("AAPL US Equity","DVD_PAYOUT_RATIO","FY 2022","FY 2022","Currency=USD","Period=FY","BEST_FPERIOD_OVERRIDE=FY","FILING_STATUS=MR","FA_ADJUSTED=GAAP","Sort=A","Dates=H","DateFormat=P","Fill=—","Direction=H","UseDPDF=Y")</f>
        <v>14.623200000000001</v>
      </c>
      <c r="H72" s="13">
        <f>_xll.BDH("AAPL US Equity","DVD_PAYOUT_RATIO","FY 2023","FY 2023","Currency=USD","Period=FY","BEST_FPERIOD_OVERRIDE=FY","FILING_STATUS=MR","FA_ADJUSTED=GAAP","Sort=A","Dates=H","DateFormat=P","Fill=—","Direction=H","UseDPDF=Y")</f>
        <v>15.258100000000001</v>
      </c>
      <c r="I72" s="13">
        <f>_xll.BDH("AAPL US Equity","DVD_PAYOUT_RATIO","FY 2024","FY 2024","Currency=USD","Period=FY","BEST_FPERIOD_OVERRIDE=FY","FILING_STATUS=MR","FA_ADJUSTED=GAAP","Sort=A","Dates=H","DateFormat=P","Fill=—","Direction=H","UseDPDF=Y")</f>
        <v>16.041799999999999</v>
      </c>
      <c r="J72" s="15">
        <v>16.534737390116899</v>
      </c>
      <c r="K72" s="13">
        <v>14.0179299103504</v>
      </c>
      <c r="L72" s="13">
        <v>13.8987792472024</v>
      </c>
    </row>
    <row r="73" spans="1:12" x14ac:dyDescent="0.25">
      <c r="A73" s="10" t="s">
        <v>122</v>
      </c>
      <c r="B73" s="10" t="s">
        <v>123</v>
      </c>
      <c r="C73" s="13">
        <f>_xll.BDH("AAPL US Equity","FREE_CASH_FLOW_YIELD","FY 2018","FY 2018","Currency=USD","Period=FY","BEST_FPERIOD_OVERRIDE=FY","FILING_STATUS=MR","Sort=A","Dates=H","DateFormat=P","Fill=—","Direction=H","UseDPDF=Y")</f>
        <v>5.7321</v>
      </c>
      <c r="D73" s="13">
        <f>_xll.BDH("AAPL US Equity","FREE_CASH_FLOW_YIELD","FY 2019","FY 2019","Currency=USD","Period=FY","BEST_FPERIOD_OVERRIDE=FY","FILING_STATUS=MR","Sort=A","Dates=H","DateFormat=P","Fill=—","Direction=H","UseDPDF=Y")</f>
        <v>5.8285</v>
      </c>
      <c r="E73" s="13">
        <f>_xll.BDH("AAPL US Equity","FREE_CASH_FLOW_YIELD","FY 2020","FY 2020","Currency=USD","Period=FY","BEST_FPERIOD_OVERRIDE=FY","FILING_STATUS=MR","Sort=A","Dates=H","DateFormat=P","Fill=—","Direction=H","UseDPDF=Y")</f>
        <v>3.7656000000000001</v>
      </c>
      <c r="F73" s="13">
        <f>_xll.BDH("AAPL US Equity","FREE_CASH_FLOW_YIELD","FY 2021","FY 2021","Currency=USD","Period=FY","BEST_FPERIOD_OVERRIDE=FY","FILING_STATUS=MR","Sort=A","Dates=H","DateFormat=P","Fill=—","Direction=H","UseDPDF=Y")</f>
        <v>3.7881999999999998</v>
      </c>
      <c r="G73" s="13">
        <f>_xll.BDH("AAPL US Equity","FREE_CASH_FLOW_YIELD","FY 2022","FY 2022","Currency=USD","Period=FY","BEST_FPERIOD_OVERRIDE=FY","FILING_STATUS=MR","Sort=A","Dates=H","DateFormat=P","Fill=—","Direction=H","UseDPDF=Y")</f>
        <v>4.5685000000000002</v>
      </c>
      <c r="H73" s="13">
        <f>_xll.BDH("AAPL US Equity","FREE_CASH_FLOW_YIELD","FY 2023","FY 2023","Currency=USD","Period=FY","BEST_FPERIOD_OVERRIDE=FY","FILING_STATUS=MR","Sort=A","Dates=H","DateFormat=P","Fill=—","Direction=H","UseDPDF=Y")</f>
        <v>3.6943999999999999</v>
      </c>
      <c r="I73" s="13">
        <f>_xll.BDH("AAPL US Equity","FREE_CASH_FLOW_YIELD","FY 2024","FY 2024","Currency=USD","Period=FY","BEST_FPERIOD_OVERRIDE=FY","FILING_STATUS=MR","Sort=A","Dates=H","DateFormat=P","Fill=—","Direction=H","UseDPDF=Y")</f>
        <v>3.1131000000000002</v>
      </c>
      <c r="J73" s="15">
        <v>2.6819315137394999</v>
      </c>
      <c r="K73" s="13"/>
      <c r="L73" s="13"/>
    </row>
    <row r="74" spans="1:12" x14ac:dyDescent="0.25">
      <c r="A74" s="6"/>
      <c r="B74" s="16"/>
      <c r="C74" s="16"/>
      <c r="D74" s="16"/>
      <c r="E74" s="16"/>
      <c r="F74" s="16"/>
      <c r="G74" s="16"/>
      <c r="H74" s="16"/>
      <c r="I74" s="16"/>
      <c r="J74" s="17"/>
      <c r="K74" s="16"/>
      <c r="L74" s="16"/>
    </row>
    <row r="75" spans="1:12" x14ac:dyDescent="0.25">
      <c r="A75" s="6" t="s">
        <v>124</v>
      </c>
      <c r="B75" s="16"/>
      <c r="C75" s="16"/>
      <c r="D75" s="16"/>
      <c r="E75" s="16"/>
      <c r="F75" s="16"/>
      <c r="G75" s="16"/>
      <c r="H75" s="16"/>
      <c r="I75" s="16"/>
      <c r="J75" s="17"/>
      <c r="K75" s="16"/>
      <c r="L75" s="16"/>
    </row>
    <row r="76" spans="1:12" x14ac:dyDescent="0.25">
      <c r="A76" s="10" t="s">
        <v>125</v>
      </c>
      <c r="B76" s="10" t="s">
        <v>126</v>
      </c>
      <c r="C76" s="13">
        <f>_xll.BDH("AAPL US Equity","TOT_DEBT_TO_TOT_EQY","FY 2018","FY 2018","Currency=USD","Period=FY","BEST_FPERIOD_OVERRIDE=FY","FILING_STATUS=MR","Sort=A","Dates=H","DateFormat=P","Fill=—","Direction=H","UseDPDF=Y")</f>
        <v>106.8467</v>
      </c>
      <c r="D76" s="13">
        <f>_xll.BDH("AAPL US Equity","TOT_DEBT_TO_TOT_EQY","FY 2019","FY 2019","Currency=USD","Period=FY","BEST_FPERIOD_OVERRIDE=FY","FILING_STATUS=MR","Sort=A","Dates=H","DateFormat=P","Fill=—","Direction=H","UseDPDF=Y")</f>
        <v>119.40479999999999</v>
      </c>
      <c r="E76" s="13">
        <f>_xll.BDH("AAPL US Equity","TOT_DEBT_TO_TOT_EQY","FY 2020","FY 2020","Currency=USD","Period=FY","BEST_FPERIOD_OVERRIDE=FY","FILING_STATUS=MR","Sort=A","Dates=H","DateFormat=P","Fill=—","Direction=H","UseDPDF=Y")</f>
        <v>187.14400000000001</v>
      </c>
      <c r="F76" s="13">
        <f>_xll.BDH("AAPL US Equity","TOT_DEBT_TO_TOT_EQY","FY 2021","FY 2021","Currency=USD","Period=FY","BEST_FPERIOD_OVERRIDE=FY","FILING_STATUS=MR","Sort=A","Dates=H","DateFormat=P","Fill=—","Direction=H","UseDPDF=Y")</f>
        <v>216.39250000000001</v>
      </c>
      <c r="G76" s="13">
        <f>_xll.BDH("AAPL US Equity","TOT_DEBT_TO_TOT_EQY","FY 2022","FY 2022","Currency=USD","Period=FY","BEST_FPERIOD_OVERRIDE=FY","FILING_STATUS=MR","Sort=A","Dates=H","DateFormat=P","Fill=—","Direction=H","UseDPDF=Y")</f>
        <v>261.44619999999998</v>
      </c>
      <c r="H76" s="13">
        <f>_xll.BDH("AAPL US Equity","TOT_DEBT_TO_TOT_EQY","FY 2023","FY 2023","Currency=USD","Period=FY","BEST_FPERIOD_OVERRIDE=FY","FILING_STATUS=MR","Sort=A","Dates=H","DateFormat=P","Fill=—","Direction=H","UseDPDF=Y")</f>
        <v>199.41749999999999</v>
      </c>
      <c r="I76" s="13">
        <f>_xll.BDH("AAPL US Equity","TOT_DEBT_TO_TOT_EQY","FY 2024","FY 2024","Currency=USD","Period=FY","BEST_FPERIOD_OVERRIDE=FY","FILING_STATUS=MR","Sort=A","Dates=H","DateFormat=P","Fill=—","Direction=H","UseDPDF=Y")</f>
        <v>209.05879999999999</v>
      </c>
      <c r="J76" s="15">
        <v>154.485796749202</v>
      </c>
      <c r="K76" s="13"/>
      <c r="L76" s="13"/>
    </row>
    <row r="77" spans="1:12" x14ac:dyDescent="0.25">
      <c r="A77" s="10" t="s">
        <v>127</v>
      </c>
      <c r="B77" s="10" t="s">
        <v>128</v>
      </c>
      <c r="C77" s="13">
        <f>_xll.BDH("AAPL US Equity","NET_DEBT_TO_SHRHLDR_EQTY","FY 2018","FY 2018","Currency=USD","Period=FY","BEST_FPERIOD_OVERRIDE=FY","FILING_STATUS=MR","Sort=A","Dates=H","DateFormat=P","Fill=—","Direction=H","UseDPDF=Y")</f>
        <v>-114.43810000000001</v>
      </c>
      <c r="D77" s="13">
        <f>_xll.BDH("AAPL US Equity","NET_DEBT_TO_SHRHLDR_EQTY","FY 2019","FY 2019","Currency=USD","Period=FY","BEST_FPERIOD_OVERRIDE=FY","FILING_STATUS=MR","Sort=A","Dates=H","DateFormat=P","Fill=—","Direction=H","UseDPDF=Y")</f>
        <v>-108.137</v>
      </c>
      <c r="E77" s="13">
        <f>_xll.BDH("AAPL US Equity","NET_DEBT_TO_SHRHLDR_EQTY","FY 2020","FY 2020","Currency=USD","Period=FY","BEST_FPERIOD_OVERRIDE=FY","FILING_STATUS=MR","Sort=A","Dates=H","DateFormat=P","Fill=—","Direction=H","UseDPDF=Y")</f>
        <v>-106.4479</v>
      </c>
      <c r="F77" s="13">
        <f>_xll.BDH("AAPL US Equity","NET_DEBT_TO_SHRHLDR_EQTY","FY 2021","FY 2021","Currency=USD","Period=FY","BEST_FPERIOD_OVERRIDE=FY","FILING_STATUS=MR","Sort=A","Dates=H","DateFormat=P","Fill=—","Direction=H","UseDPDF=Y")</f>
        <v>-85.582499999999996</v>
      </c>
      <c r="G77" s="13">
        <f>_xll.BDH("AAPL US Equity","NET_DEBT_TO_SHRHLDR_EQTY","FY 2022","FY 2022","Currency=USD","Period=FY","BEST_FPERIOD_OVERRIDE=FY","FILING_STATUS=MR","Sort=A","Dates=H","DateFormat=P","Fill=—","Direction=H","UseDPDF=Y")</f>
        <v>-72.286500000000004</v>
      </c>
      <c r="H77" s="13">
        <f>_xll.BDH("AAPL US Equity","NET_DEBT_TO_SHRHLDR_EQTY","FY 2023","FY 2023","Currency=USD","Period=FY","BEST_FPERIOD_OVERRIDE=FY","FILING_STATUS=MR","Sort=A","Dates=H","DateFormat=P","Fill=—","Direction=H","UseDPDF=Y")</f>
        <v>-61.418300000000002</v>
      </c>
      <c r="I77" s="13">
        <f>_xll.BDH("AAPL US Equity","NET_DEBT_TO_SHRHLDR_EQTY","FY 2024","FY 2024","Currency=USD","Period=FY","BEST_FPERIOD_OVERRIDE=FY","FILING_STATUS=MR","Sort=A","Dates=H","DateFormat=P","Fill=—","Direction=H","UseDPDF=Y")</f>
        <v>-66.007000000000005</v>
      </c>
      <c r="J77" s="15">
        <v>-47.528482454807801</v>
      </c>
      <c r="K77" s="13"/>
      <c r="L77" s="13"/>
    </row>
    <row r="78" spans="1:12" x14ac:dyDescent="0.25">
      <c r="A78" s="10" t="s">
        <v>129</v>
      </c>
      <c r="B78" s="10" t="s">
        <v>130</v>
      </c>
      <c r="C78" s="13">
        <f>_xll.BDH("AAPL US Equity","CASH_RATIO","FY 2018","FY 2018","Currency=USD","Period=FY","BEST_FPERIOD_OVERRIDE=FY","FILING_STATUS=MR","Sort=A","Dates=H","DateFormat=P","Fill=—","Direction=H","UseDPDF=Y")</f>
        <v>0.57189999999999996</v>
      </c>
      <c r="D78" s="13">
        <f>_xll.BDH("AAPL US Equity","CASH_RATIO","FY 2019","FY 2019","Currency=USD","Period=FY","BEST_FPERIOD_OVERRIDE=FY","FILING_STATUS=MR","Sort=A","Dates=H","DateFormat=P","Fill=—","Direction=H","UseDPDF=Y")</f>
        <v>0.95120000000000005</v>
      </c>
      <c r="E78" s="13">
        <f>_xll.BDH("AAPL US Equity","CASH_RATIO","FY 2020","FY 2020","Currency=USD","Period=FY","BEST_FPERIOD_OVERRIDE=FY","FILING_STATUS=MR","Sort=A","Dates=H","DateFormat=P","Fill=—","Direction=H","UseDPDF=Y")</f>
        <v>0.8629</v>
      </c>
      <c r="F78" s="13">
        <f>_xll.BDH("AAPL US Equity","CASH_RATIO","FY 2021","FY 2021","Currency=USD","Period=FY","BEST_FPERIOD_OVERRIDE=FY","FILING_STATUS=MR","Sort=A","Dates=H","DateFormat=P","Fill=—","Direction=H","UseDPDF=Y")</f>
        <v>0.49919999999999998</v>
      </c>
      <c r="G78" s="13">
        <f>_xll.BDH("AAPL US Equity","CASH_RATIO","FY 2022","FY 2022","Currency=USD","Period=FY","BEST_FPERIOD_OVERRIDE=FY","FILING_STATUS=MR","Sort=A","Dates=H","DateFormat=P","Fill=—","Direction=H","UseDPDF=Y")</f>
        <v>0.31369999999999998</v>
      </c>
      <c r="H78" s="13">
        <f>_xll.BDH("AAPL US Equity","CASH_RATIO","FY 2023","FY 2023","Currency=USD","Period=FY","BEST_FPERIOD_OVERRIDE=FY","FILING_STATUS=MR","Sort=A","Dates=H","DateFormat=P","Fill=—","Direction=H","UseDPDF=Y")</f>
        <v>0.42359999999999998</v>
      </c>
      <c r="I78" s="13">
        <f>_xll.BDH("AAPL US Equity","CASH_RATIO","FY 2024","FY 2024","Currency=USD","Period=FY","BEST_FPERIOD_OVERRIDE=FY","FILING_STATUS=MR","Sort=A","Dates=H","DateFormat=P","Fill=—","Direction=H","UseDPDF=Y")</f>
        <v>0.3695</v>
      </c>
      <c r="J78" s="15">
        <v>0.39237528344671202</v>
      </c>
      <c r="K78" s="13"/>
      <c r="L78" s="13"/>
    </row>
    <row r="79" spans="1:12" x14ac:dyDescent="0.25">
      <c r="A79" s="10" t="s">
        <v>131</v>
      </c>
      <c r="B79" s="10" t="s">
        <v>132</v>
      </c>
      <c r="C79" s="13">
        <f>_xll.BDH("AAPL US Equity","CUR_RATIO","FY 2018","FY 2018","Currency=USD","Period=FY","BEST_FPERIOD_OVERRIDE=FY","FILING_STATUS=MR","Sort=A","Dates=H","DateFormat=P","Fill=—","Direction=H","UseDPDF=Y")</f>
        <v>1.1329</v>
      </c>
      <c r="D79" s="13">
        <f>_xll.BDH("AAPL US Equity","CUR_RATIO","FY 2019","FY 2019","Currency=USD","Period=FY","BEST_FPERIOD_OVERRIDE=FY","FILING_STATUS=MR","Sort=A","Dates=H","DateFormat=P","Fill=—","Direction=H","UseDPDF=Y")</f>
        <v>1.5401</v>
      </c>
      <c r="E79" s="13">
        <f>_xll.BDH("AAPL US Equity","CUR_RATIO","FY 2020","FY 2020","Currency=USD","Period=FY","BEST_FPERIOD_OVERRIDE=FY","FILING_STATUS=MR","Sort=A","Dates=H","DateFormat=P","Fill=—","Direction=H","UseDPDF=Y")</f>
        <v>1.3635999999999999</v>
      </c>
      <c r="F79" s="13">
        <f>_xll.BDH("AAPL US Equity","CUR_RATIO","FY 2021","FY 2021","Currency=USD","Period=FY","BEST_FPERIOD_OVERRIDE=FY","FILING_STATUS=MR","Sort=A","Dates=H","DateFormat=P","Fill=—","Direction=H","UseDPDF=Y")</f>
        <v>1.0746</v>
      </c>
      <c r="G79" s="13">
        <f>_xll.BDH("AAPL US Equity","CUR_RATIO","FY 2022","FY 2022","Currency=USD","Period=FY","BEST_FPERIOD_OVERRIDE=FY","FILING_STATUS=MR","Sort=A","Dates=H","DateFormat=P","Fill=—","Direction=H","UseDPDF=Y")</f>
        <v>0.87939999999999996</v>
      </c>
      <c r="H79" s="13">
        <f>_xll.BDH("AAPL US Equity","CUR_RATIO","FY 2023","FY 2023","Currency=USD","Period=FY","BEST_FPERIOD_OVERRIDE=FY","FILING_STATUS=MR","Sort=A","Dates=H","DateFormat=P","Fill=—","Direction=H","UseDPDF=Y")</f>
        <v>0.98799999999999999</v>
      </c>
      <c r="I79" s="13">
        <f>_xll.BDH("AAPL US Equity","CUR_RATIO","FY 2024","FY 2024","Currency=USD","Period=FY","BEST_FPERIOD_OVERRIDE=FY","FILING_STATUS=MR","Sort=A","Dates=H","DateFormat=P","Fill=—","Direction=H","UseDPDF=Y")</f>
        <v>0.86729999999999996</v>
      </c>
      <c r="J79" s="15">
        <v>0.86799178004535105</v>
      </c>
      <c r="K79" s="13"/>
      <c r="L79" s="13"/>
    </row>
    <row r="80" spans="1:12" x14ac:dyDescent="0.25">
      <c r="A80" s="10" t="s">
        <v>133</v>
      </c>
      <c r="B80" s="10" t="s">
        <v>134</v>
      </c>
      <c r="C80" s="13">
        <f>_xll.BDH("AAPL US Equity","QUICK_RATIO","FY 2018","FY 2018","Currency=USD","Period=FY","BEST_FPERIOD_OVERRIDE=FY","FILING_STATUS=MR","Sort=A","Dates=H","DateFormat=P","Fill=—","Direction=H","UseDPDF=Y")</f>
        <v>0.77190000000000003</v>
      </c>
      <c r="D80" s="13">
        <f>_xll.BDH("AAPL US Equity","QUICK_RATIO","FY 2019","FY 2019","Currency=USD","Period=FY","BEST_FPERIOD_OVERRIDE=FY","FILING_STATUS=MR","Sort=A","Dates=H","DateFormat=P","Fill=—","Direction=H","UseDPDF=Y")</f>
        <v>1.1679999999999999</v>
      </c>
      <c r="E80" s="13">
        <f>_xll.BDH("AAPL US Equity","QUICK_RATIO","FY 2020","FY 2020","Currency=USD","Period=FY","BEST_FPERIOD_OVERRIDE=FY","FILING_STATUS=MR","Sort=A","Dates=H","DateFormat=P","Fill=—","Direction=H","UseDPDF=Y")</f>
        <v>1.0159</v>
      </c>
      <c r="F80" s="13">
        <f>_xll.BDH("AAPL US Equity","QUICK_RATIO","FY 2021","FY 2021","Currency=USD","Period=FY","BEST_FPERIOD_OVERRIDE=FY","FILING_STATUS=MR","Sort=A","Dates=H","DateFormat=P","Fill=—","Direction=H","UseDPDF=Y")</f>
        <v>0.70860000000000001</v>
      </c>
      <c r="G80" s="13">
        <f>_xll.BDH("AAPL US Equity","QUICK_RATIO","FY 2022","FY 2022","Currency=USD","Period=FY","BEST_FPERIOD_OVERRIDE=FY","FILING_STATUS=MR","Sort=A","Dates=H","DateFormat=P","Fill=—","Direction=H","UseDPDF=Y")</f>
        <v>0.49669999999999997</v>
      </c>
      <c r="H80" s="13">
        <f>_xll.BDH("AAPL US Equity","QUICK_RATIO","FY 2023","FY 2023","Currency=USD","Period=FY","BEST_FPERIOD_OVERRIDE=FY","FILING_STATUS=MR","Sort=A","Dates=H","DateFormat=P","Fill=—","Direction=H","UseDPDF=Y")</f>
        <v>0.62670000000000003</v>
      </c>
      <c r="I80" s="13">
        <f>_xll.BDH("AAPL US Equity","QUICK_RATIO","FY 2024","FY 2024","Currency=USD","Period=FY","BEST_FPERIOD_OVERRIDE=FY","FILING_STATUS=MR","Sort=A","Dates=H","DateFormat=P","Fill=—","Direction=H","UseDPDF=Y")</f>
        <v>0.55889999999999995</v>
      </c>
      <c r="J80" s="15">
        <v>0.58764880952380905</v>
      </c>
      <c r="K80" s="13"/>
      <c r="L80" s="13"/>
    </row>
    <row r="81" spans="1:12" x14ac:dyDescent="0.25">
      <c r="A81" s="10" t="s">
        <v>135</v>
      </c>
      <c r="B81" s="10" t="s">
        <v>136</v>
      </c>
      <c r="C81" s="13">
        <f>_xll.BDH("AAPL US Equity","INTEREST_COVERAGE_RATIO","FY 2018","FY 2018","Currency=USD","Period=FY","BEST_FPERIOD_OVERRIDE=FY","FILING_STATUS=MR","FA_ADJUSTED=GAAP","Sort=A","Dates=H","DateFormat=P","Fill=—","Direction=H","UseDPDF=Y")</f>
        <v>21.882100000000001</v>
      </c>
      <c r="D81" s="13">
        <f>_xll.BDH("AAPL US Equity","INTEREST_COVERAGE_RATIO","FY 2019","FY 2019","Currency=USD","Period=FY","BEST_FPERIOD_OVERRIDE=FY","FILING_STATUS=MR","FA_ADJUSTED=GAAP","Sort=A","Dates=H","DateFormat=P","Fill=—","Direction=H","UseDPDF=Y")</f>
        <v>17.877500000000001</v>
      </c>
      <c r="E81" s="13">
        <f>_xll.BDH("AAPL US Equity","INTEREST_COVERAGE_RATIO","FY 2020","FY 2020","Currency=USD","Period=FY","BEST_FPERIOD_OVERRIDE=FY","FILING_STATUS=MR","FA_ADJUSTED=GAAP","Sort=A","Dates=H","DateFormat=P","Fill=—","Direction=H","UseDPDF=Y")</f>
        <v>23.072700000000001</v>
      </c>
      <c r="F81" s="13">
        <f>_xll.BDH("AAPL US Equity","INTEREST_COVERAGE_RATIO","FY 2021","FY 2021","Currency=USD","Period=FY","BEST_FPERIOD_OVERRIDE=FY","FILING_STATUS=MR","FA_ADJUSTED=GAAP","Sort=A","Dates=H","DateFormat=P","Fill=—","Direction=H","UseDPDF=Y")</f>
        <v>41.1905</v>
      </c>
      <c r="G81" s="13">
        <f>_xll.BDH("AAPL US Equity","INTEREST_COVERAGE_RATIO","FY 2022","FY 2022","Currency=USD","Period=FY","BEST_FPERIOD_OVERRIDE=FY","FILING_STATUS=MR","FA_ADJUSTED=GAAP","Sort=A","Dates=H","DateFormat=P","Fill=—","Direction=H","UseDPDF=Y")</f>
        <v>40.749600000000001</v>
      </c>
      <c r="H81" s="13">
        <f>_xll.BDH("AAPL US Equity","INTEREST_COVERAGE_RATIO","FY 2023","FY 2023","Currency=USD","Period=FY","BEST_FPERIOD_OVERRIDE=FY","FILING_STATUS=MR","FA_ADJUSTED=GAAP","Sort=A","Dates=H","DateFormat=P","Fill=—","Direction=H","UseDPDF=Y")</f>
        <v>29.062000000000001</v>
      </c>
      <c r="I81" s="13" t="str">
        <f>_xll.BDH("AAPL US Equity","INTEREST_COVERAGE_RATIO","FY 2024","FY 2024","Currency=USD","Period=FY","BEST_FPERIOD_OVERRIDE=FY","FILING_STATUS=MR","FA_ADJUSTED=GAAP","Sort=A","Dates=H","DateFormat=P","Fill=—","Direction=H","UseDPDF=Y")</f>
        <v>—</v>
      </c>
      <c r="J81" s="15"/>
      <c r="K81" s="13"/>
      <c r="L81" s="13"/>
    </row>
    <row r="82" spans="1:12" x14ac:dyDescent="0.25">
      <c r="A82" s="10" t="s">
        <v>137</v>
      </c>
      <c r="B82" s="10" t="s">
        <v>138</v>
      </c>
      <c r="C82" s="13" t="str">
        <f>_xll.BDH("AAPL US Equity","NET_INTEREST_COVERAGE","FY 2018","FY 2018","Currency=USD","Period=FY","BEST_FPERIOD_OVERRIDE=FY","FILING_STATUS=MR","FA_ADJUSTED=GAAP","Sort=A","Dates=H","DateFormat=P","Fill=—","Direction=H","UseDPDF=Y")</f>
        <v>—</v>
      </c>
      <c r="D82" s="13" t="str">
        <f>_xll.BDH("AAPL US Equity","NET_INTEREST_COVERAGE","FY 2019","FY 2019","Currency=USD","Period=FY","BEST_FPERIOD_OVERRIDE=FY","FILING_STATUS=MR","FA_ADJUSTED=GAAP","Sort=A","Dates=H","DateFormat=P","Fill=—","Direction=H","UseDPDF=Y")</f>
        <v>—</v>
      </c>
      <c r="E82" s="13" t="str">
        <f>_xll.BDH("AAPL US Equity","NET_INTEREST_COVERAGE","FY 2020","FY 2020","Currency=USD","Period=FY","BEST_FPERIOD_OVERRIDE=FY","FILING_STATUS=MR","FA_ADJUSTED=GAAP","Sort=A","Dates=H","DateFormat=P","Fill=—","Direction=H","UseDPDF=Y")</f>
        <v>—</v>
      </c>
      <c r="F82" s="13" t="str">
        <f>_xll.BDH("AAPL US Equity","NET_INTEREST_COVERAGE","FY 2021","FY 2021","Currency=USD","Period=FY","BEST_FPERIOD_OVERRIDE=FY","FILING_STATUS=MR","FA_ADJUSTED=GAAP","Sort=A","Dates=H","DateFormat=P","Fill=—","Direction=H","UseDPDF=Y")</f>
        <v>—</v>
      </c>
      <c r="G82" s="13">
        <f>_xll.BDH("AAPL US Equity","NET_INTEREST_COVERAGE","FY 2022","FY 2022","Currency=USD","Period=FY","BEST_FPERIOD_OVERRIDE=FY","FILING_STATUS=MR","FA_ADJUSTED=GAAP","Sort=A","Dates=H","DateFormat=P","Fill=—","Direction=H","UseDPDF=Y")</f>
        <v>1124.6132</v>
      </c>
      <c r="H82" s="13">
        <f>_xll.BDH("AAPL US Equity","NET_INTEREST_COVERAGE","FY 2023","FY 2023","Currency=USD","Period=FY","BEST_FPERIOD_OVERRIDE=FY","FILING_STATUS=MR","FA_ADJUSTED=GAAP","Sort=A","Dates=H","DateFormat=P","Fill=—","Direction=H","UseDPDF=Y")</f>
        <v>622.50819999999999</v>
      </c>
      <c r="I82" s="13" t="str">
        <f>_xll.BDH("AAPL US Equity","NET_INTEREST_COVERAGE","FY 2024","FY 2024","Currency=USD","Period=FY","BEST_FPERIOD_OVERRIDE=FY","FILING_STATUS=MR","FA_ADJUSTED=GAAP","Sort=A","Dates=H","DateFormat=P","Fill=—","Direction=H","UseDPDF=Y")</f>
        <v>—</v>
      </c>
      <c r="J82" s="15"/>
      <c r="K82" s="13"/>
      <c r="L82" s="13"/>
    </row>
    <row r="83" spans="1:12" x14ac:dyDescent="0.25">
      <c r="A83" s="10" t="s">
        <v>139</v>
      </c>
      <c r="B83" s="10" t="s">
        <v>140</v>
      </c>
      <c r="C83" s="13">
        <f>_xll.BDH("AAPL US Equity","DAYS_ACCOUNTS_RECEIVABLE","FY 2018","FY 2018","Currency=USD","Period=FY","BEST_FPERIOD_OVERRIDE=FY","FILING_STATUS=MR","FA_ADJUSTED=GAAP","Sort=A","Dates=H","DateFormat=P","Fill=—","Direction=H","UseDPDF=Y")</f>
        <v>28.213799999999999</v>
      </c>
      <c r="D83" s="13">
        <f>_xll.BDH("AAPL US Equity","DAYS_ACCOUNTS_RECEIVABLE","FY 2019","FY 2019","Currency=USD","Period=FY","BEST_FPERIOD_OVERRIDE=FY","FILING_STATUS=MR","FA_ADJUSTED=GAAP","Sort=A","Dates=H","DateFormat=P","Fill=—","Direction=H","UseDPDF=Y")</f>
        <v>32.345399999999998</v>
      </c>
      <c r="E83" s="13">
        <f>_xll.BDH("AAPL US Equity","DAYS_ACCOUNTS_RECEIVABLE","FY 2020","FY 2020","Currency=USD","Period=FY","BEST_FPERIOD_OVERRIDE=FY","FILING_STATUS=MR","FA_ADJUSTED=GAAP","Sort=A","Dates=H","DateFormat=P","Fill=—","Direction=H","UseDPDF=Y")</f>
        <v>25.958100000000002</v>
      </c>
      <c r="F83" s="13">
        <f>_xll.BDH("AAPL US Equity","DAYS_ACCOUNTS_RECEIVABLE","FY 2021","FY 2021","Currency=USD","Period=FY","BEST_FPERIOD_OVERRIDE=FY","FILING_STATUS=MR","FA_ADJUSTED=GAAP","Sort=A","Dates=H","DateFormat=P","Fill=—","Direction=H","UseDPDF=Y")</f>
        <v>21.151700000000002</v>
      </c>
      <c r="G83" s="13">
        <f>_xll.BDH("AAPL US Equity","DAYS_ACCOUNTS_RECEIVABLE","FY 2022","FY 2022","Currency=USD","Period=FY","BEST_FPERIOD_OVERRIDE=FY","FILING_STATUS=MR","FA_ADJUSTED=GAAP","Sort=A","Dates=H","DateFormat=P","Fill=—","Direction=H","UseDPDF=Y")</f>
        <v>25.2057</v>
      </c>
      <c r="H83" s="13">
        <f>_xll.BDH("AAPL US Equity","DAYS_ACCOUNTS_RECEIVABLE","FY 2023","FY 2023","Currency=USD","Period=FY","BEST_FPERIOD_OVERRIDE=FY","FILING_STATUS=MR","FA_ADJUSTED=GAAP","Sort=A","Dates=H","DateFormat=P","Fill=—","Direction=H","UseDPDF=Y")</f>
        <v>27.469899999999999</v>
      </c>
      <c r="I83" s="13">
        <f>_xll.BDH("AAPL US Equity","DAYS_ACCOUNTS_RECEIVABLE","FY 2024","FY 2024","Currency=USD","Period=FY","BEST_FPERIOD_OVERRIDE=FY","FILING_STATUS=MR","FA_ADJUSTED=GAAP","Sort=A","Dates=H","DateFormat=P","Fill=—","Direction=H","UseDPDF=Y")</f>
        <v>29.3645</v>
      </c>
      <c r="J83" s="15"/>
      <c r="K83" s="13"/>
      <c r="L83" s="13"/>
    </row>
    <row r="84" spans="1:12" x14ac:dyDescent="0.25">
      <c r="A84" s="10" t="s">
        <v>141</v>
      </c>
      <c r="B84" s="10" t="s">
        <v>142</v>
      </c>
      <c r="C84" s="13" t="str">
        <f>_xll.BDH("AAPL US Equity","DAYS_ACCOUNTS_PAYABLE","FY 2018","FY 2018","Currency=USD","Period=FY","BEST_FPERIOD_OVERRIDE=FY","FILING_STATUS=MR","Sort=A","Dates=H","DateFormat=P","Fill=—","Direction=H","UseDPDF=Y")</f>
        <v>—</v>
      </c>
      <c r="D84" s="13" t="str">
        <f>_xll.BDH("AAPL US Equity","DAYS_ACCOUNTS_PAYABLE","FY 2019","FY 2019","Currency=USD","Period=FY","BEST_FPERIOD_OVERRIDE=FY","FILING_STATUS=MR","Sort=A","Dates=H","DateFormat=P","Fill=—","Direction=H","UseDPDF=Y")</f>
        <v>—</v>
      </c>
      <c r="E84" s="13" t="str">
        <f>_xll.BDH("AAPL US Equity","DAYS_ACCOUNTS_PAYABLE","FY 2020","FY 2020","Currency=USD","Period=FY","BEST_FPERIOD_OVERRIDE=FY","FILING_STATUS=MR","Sort=A","Dates=H","DateFormat=P","Fill=—","Direction=H","UseDPDF=Y")</f>
        <v>—</v>
      </c>
      <c r="F84" s="13" t="str">
        <f>_xll.BDH("AAPL US Equity","DAYS_ACCOUNTS_PAYABLE","FY 2021","FY 2021","Currency=USD","Period=FY","BEST_FPERIOD_OVERRIDE=FY","FILING_STATUS=MR","Sort=A","Dates=H","DateFormat=P","Fill=—","Direction=H","UseDPDF=Y")</f>
        <v>—</v>
      </c>
      <c r="G84" s="13" t="str">
        <f>_xll.BDH("AAPL US Equity","DAYS_ACCOUNTS_PAYABLE","FY 2022","FY 2022","Currency=USD","Period=FY","BEST_FPERIOD_OVERRIDE=FY","FILING_STATUS=MR","Sort=A","Dates=H","DateFormat=P","Fill=—","Direction=H","UseDPDF=Y")</f>
        <v>—</v>
      </c>
      <c r="H84" s="13" t="str">
        <f>_xll.BDH("AAPL US Equity","DAYS_ACCOUNTS_PAYABLE","FY 2023","FY 2023","Currency=USD","Period=FY","BEST_FPERIOD_OVERRIDE=FY","FILING_STATUS=MR","Sort=A","Dates=H","DateFormat=P","Fill=—","Direction=H","UseDPDF=Y")</f>
        <v>—</v>
      </c>
      <c r="I84" s="13" t="str">
        <f>_xll.BDH("AAPL US Equity","DAYS_ACCOUNTS_PAYABLE","FY 2024","FY 2024","Currency=USD","Period=FY","BEST_FPERIOD_OVERRIDE=FY","FILING_STATUS=MR","Sort=A","Dates=H","DateFormat=P","Fill=—","Direction=H","UseDPDF=Y")</f>
        <v>—</v>
      </c>
      <c r="J84" s="15"/>
      <c r="K84" s="13"/>
      <c r="L84" s="13"/>
    </row>
    <row r="85" spans="1:12" x14ac:dyDescent="0.25">
      <c r="A85" s="10" t="s">
        <v>143</v>
      </c>
      <c r="B85" s="10" t="s">
        <v>144</v>
      </c>
      <c r="C85" s="13">
        <f>_xll.BDH("AAPL US Equity","INVENT_DAYS","FY 2018","FY 2018","Currency=USD","Period=FY","BEST_FPERIOD_OVERRIDE=FY","FILING_STATUS=MR","FA_ADJUSTED=GAAP","Sort=A","Dates=H","DateFormat=P","Fill=—","Direction=H","UseDPDF=Y")</f>
        <v>9.7926000000000002</v>
      </c>
      <c r="D85" s="13">
        <f>_xll.BDH("AAPL US Equity","INVENT_DAYS","FY 2019","FY 2019","Currency=USD","Period=FY","BEST_FPERIOD_OVERRIDE=FY","FILING_STATUS=MR","FA_ADJUSTED=GAAP","Sort=A","Dates=H","DateFormat=P","Fill=—","Direction=H","UseDPDF=Y")</f>
        <v>9.0694999999999997</v>
      </c>
      <c r="E85" s="13">
        <f>_xll.BDH("AAPL US Equity","INVENT_DAYS","FY 2020","FY 2020","Currency=USD","Period=FY","BEST_FPERIOD_OVERRIDE=FY","FILING_STATUS=MR","FA_ADJUSTED=GAAP","Sort=A","Dates=H","DateFormat=P","Fill=—","Direction=H","UseDPDF=Y")</f>
        <v>8.7661999999999995</v>
      </c>
      <c r="F85" s="13">
        <f>_xll.BDH("AAPL US Equity","INVENT_DAYS","FY 2021","FY 2021","Currency=USD","Period=FY","BEST_FPERIOD_OVERRIDE=FY","FILING_STATUS=MR","FA_ADJUSTED=GAAP","Sort=A","Dates=H","DateFormat=P","Fill=—","Direction=H","UseDPDF=Y")</f>
        <v>9.0930999999999997</v>
      </c>
      <c r="G85" s="13">
        <f>_xll.BDH("AAPL US Equity","INVENT_DAYS","FY 2022","FY 2022","Currency=USD","Period=FY","BEST_FPERIOD_OVERRIDE=FY","FILING_STATUS=MR","FA_ADJUSTED=GAAP","Sort=A","Dates=H","DateFormat=P","Fill=—","Direction=H","UseDPDF=Y")</f>
        <v>9.3839000000000006</v>
      </c>
      <c r="H85" s="13">
        <f>_xll.BDH("AAPL US Equity","INVENT_DAYS","FY 2023","FY 2023","Currency=USD","Period=FY","BEST_FPERIOD_OVERRIDE=FY","FILING_STATUS=MR","FA_ADJUSTED=GAAP","Sort=A","Dates=H","DateFormat=P","Fill=—","Direction=H","UseDPDF=Y")</f>
        <v>9.7689000000000004</v>
      </c>
      <c r="I85" s="13">
        <f>_xll.BDH("AAPL US Equity","INVENT_DAYS","FY 2024","FY 2024","Currency=USD","Period=FY","BEST_FPERIOD_OVERRIDE=FY","FILING_STATUS=MR","FA_ADJUSTED=GAAP","Sort=A","Dates=H","DateFormat=P","Fill=—","Direction=H","UseDPDF=Y")</f>
        <v>11.781700000000001</v>
      </c>
      <c r="J85" s="15">
        <v>10.098767245256701</v>
      </c>
      <c r="K85" s="13"/>
      <c r="L85" s="13"/>
    </row>
    <row r="86" spans="1:12" x14ac:dyDescent="0.25">
      <c r="A86" s="10" t="s">
        <v>145</v>
      </c>
      <c r="B86" s="10" t="s">
        <v>146</v>
      </c>
      <c r="C86" s="13">
        <f>_xll.BDH("AAPL US Equity","CASH_CONVERSION_CYCLE","FY 2018","FY 2018","Currency=USD","Period=FY","BEST_FPERIOD_OVERRIDE=FY","FILING_STATUS=MR","FA_ADJUSTED=GAAP","Sort=A","Dates=H","DateFormat=P","Fill=—","Direction=H","UseDPDF=Y")</f>
        <v>-79.342600000000004</v>
      </c>
      <c r="D86" s="13">
        <f>_xll.BDH("AAPL US Equity","CASH_CONVERSION_CYCLE","FY 2019","FY 2019","Currency=USD","Period=FY","BEST_FPERIOD_OVERRIDE=FY","FILING_STATUS=MR","FA_ADJUSTED=GAAP","Sort=A","Dates=H","DateFormat=P","Fill=—","Direction=H","UseDPDF=Y")</f>
        <v>-73.453800000000001</v>
      </c>
      <c r="E86" s="13">
        <f>_xll.BDH("AAPL US Equity","CASH_CONVERSION_CYCLE","FY 2020","FY 2020","Currency=USD","Period=FY","BEST_FPERIOD_OVERRIDE=FY","FILING_STATUS=MR","FA_ADJUSTED=GAAP","Sort=A","Dates=H","DateFormat=P","Fill=—","Direction=H","UseDPDF=Y")</f>
        <v>-60.399799999999999</v>
      </c>
      <c r="F86" s="13">
        <f>_xll.BDH("AAPL US Equity","CASH_CONVERSION_CYCLE","FY 2021","FY 2021","Currency=USD","Period=FY","BEST_FPERIOD_OVERRIDE=FY","FILING_STATUS=MR","FA_ADJUSTED=GAAP","Sort=A","Dates=H","DateFormat=P","Fill=—","Direction=H","UseDPDF=Y")</f>
        <v>-51.784100000000002</v>
      </c>
      <c r="G86" s="13">
        <f>_xll.BDH("AAPL US Equity","CASH_CONVERSION_CYCLE","FY 2022","FY 2022","Currency=USD","Period=FY","BEST_FPERIOD_OVERRIDE=FY","FILING_STATUS=MR","FA_ADJUSTED=GAAP","Sort=A","Dates=H","DateFormat=P","Fill=—","Direction=H","UseDPDF=Y")</f>
        <v>-62.976599999999998</v>
      </c>
      <c r="H86" s="13">
        <f>_xll.BDH("AAPL US Equity","CASH_CONVERSION_CYCLE","FY 2023","FY 2023","Currency=USD","Period=FY","BEST_FPERIOD_OVERRIDE=FY","FILING_STATUS=MR","FA_ADJUSTED=GAAP","Sort=A","Dates=H","DateFormat=P","Fill=—","Direction=H","UseDPDF=Y")</f>
        <v>-71.382900000000006</v>
      </c>
      <c r="I86" s="13">
        <f>_xll.BDH("AAPL US Equity","CASH_CONVERSION_CYCLE","FY 2024","FY 2024","Currency=USD","Period=FY","BEST_FPERIOD_OVERRIDE=FY","FILING_STATUS=MR","FA_ADJUSTED=GAAP","Sort=A","Dates=H","DateFormat=P","Fill=—","Direction=H","UseDPDF=Y")</f>
        <v>-72.257199999999997</v>
      </c>
      <c r="J86" s="15">
        <v>-49.380750439050097</v>
      </c>
      <c r="K86" s="13"/>
      <c r="L86" s="13"/>
    </row>
    <row r="87" spans="1:12" x14ac:dyDescent="0.25">
      <c r="A87" s="10" t="s">
        <v>147</v>
      </c>
      <c r="B87" s="10" t="s">
        <v>148</v>
      </c>
      <c r="C87" s="13">
        <f>_xll.BDH("AAPL US Equity","ASSET_TO_EQY","FY 2018","FY 2018","Currency=USD","Period=FY","BEST_FPERIOD_OVERRIDE=FY","FILING_STATUS=MR","Sort=A","Dates=H","DateFormat=P","Fill=—","Direction=H","UseDPDF=Y")</f>
        <v>3.4133</v>
      </c>
      <c r="D87" s="13">
        <f>_xll.BDH("AAPL US Equity","ASSET_TO_EQY","FY 2019","FY 2019","Currency=USD","Period=FY","BEST_FPERIOD_OVERRIDE=FY","FILING_STATUS=MR","Sort=A","Dates=H","DateFormat=P","Fill=—","Direction=H","UseDPDF=Y")</f>
        <v>3.7410000000000001</v>
      </c>
      <c r="E87" s="13">
        <f>_xll.BDH("AAPL US Equity","ASSET_TO_EQY","FY 2020","FY 2020","Currency=USD","Period=FY","BEST_FPERIOD_OVERRIDE=FY","FILING_STATUS=MR","Sort=A","Dates=H","DateFormat=P","Fill=—","Direction=H","UseDPDF=Y")</f>
        <v>4.9569999999999999</v>
      </c>
      <c r="F87" s="13">
        <f>_xll.BDH("AAPL US Equity","ASSET_TO_EQY","FY 2021","FY 2021","Currency=USD","Period=FY","BEST_FPERIOD_OVERRIDE=FY","FILING_STATUS=MR","Sort=A","Dates=H","DateFormat=P","Fill=—","Direction=H","UseDPDF=Y")</f>
        <v>5.5635000000000003</v>
      </c>
      <c r="G87" s="13">
        <f>_xll.BDH("AAPL US Equity","ASSET_TO_EQY","FY 2022","FY 2022","Currency=USD","Period=FY","BEST_FPERIOD_OVERRIDE=FY","FILING_STATUS=MR","Sort=A","Dates=H","DateFormat=P","Fill=—","Direction=H","UseDPDF=Y")</f>
        <v>6.9615</v>
      </c>
      <c r="H87" s="13">
        <f>_xll.BDH("AAPL US Equity","ASSET_TO_EQY","FY 2023","FY 2023","Currency=USD","Period=FY","BEST_FPERIOD_OVERRIDE=FY","FILING_STATUS=MR","Sort=A","Dates=H","DateFormat=P","Fill=—","Direction=H","UseDPDF=Y")</f>
        <v>5.6734999999999998</v>
      </c>
      <c r="I87" s="13">
        <f>_xll.BDH("AAPL US Equity","ASSET_TO_EQY","FY 2024","FY 2024","Currency=USD","Period=FY","BEST_FPERIOD_OVERRIDE=FY","FILING_STATUS=MR","Sort=A","Dates=H","DateFormat=P","Fill=—","Direction=H","UseDPDF=Y")</f>
        <v>6.4088000000000003</v>
      </c>
      <c r="J87" s="15">
        <v>5.0356220568129997</v>
      </c>
      <c r="K87" s="13"/>
      <c r="L87" s="13"/>
    </row>
    <row r="88" spans="1:12" x14ac:dyDescent="0.25">
      <c r="A88" s="10" t="s">
        <v>35</v>
      </c>
      <c r="B88" s="10" t="s">
        <v>36</v>
      </c>
      <c r="C88" s="12">
        <f>_xll.BDH("AAPL US Equity","SHORT_AND_LONG_TERM_DEBT","FY 2018","FY 2018","Currency=USD","Period=FY","BEST_FPERIOD_OVERRIDE=FY","FILING_STATUS=MR","SCALING_FORMAT=MLN","Sort=A","Dates=H","DateFormat=P","Fill=—","Direction=H","UseDPDF=Y")</f>
        <v>114483</v>
      </c>
      <c r="D88" s="12">
        <f>_xll.BDH("AAPL US Equity","SHORT_AND_LONG_TERM_DEBT","FY 2019","FY 2019","Currency=USD","Period=FY","BEST_FPERIOD_OVERRIDE=FY","FILING_STATUS=MR","SCALING_FORMAT=MLN","Sort=A","Dates=H","DateFormat=P","Fill=—","Direction=H","UseDPDF=Y")</f>
        <v>108047</v>
      </c>
      <c r="E88" s="12">
        <f>_xll.BDH("AAPL US Equity","SHORT_AND_LONG_TERM_DEBT","FY 2020","FY 2020","Currency=USD","Period=FY","BEST_FPERIOD_OVERRIDE=FY","FILING_STATUS=MR","SCALING_FORMAT=MLN","Sort=A","Dates=H","DateFormat=P","Fill=—","Direction=H","UseDPDF=Y")</f>
        <v>122278</v>
      </c>
      <c r="F88" s="12">
        <f>_xll.BDH("AAPL US Equity","SHORT_AND_LONG_TERM_DEBT","FY 2021","FY 2021","Currency=USD","Period=FY","BEST_FPERIOD_OVERRIDE=FY","FILING_STATUS=MR","SCALING_FORMAT=MLN","Sort=A","Dates=H","DateFormat=P","Fill=—","Direction=H","UseDPDF=Y")</f>
        <v>136522</v>
      </c>
      <c r="G88" s="12">
        <f>_xll.BDH("AAPL US Equity","SHORT_AND_LONG_TERM_DEBT","FY 2022","FY 2022","Currency=USD","Period=FY","BEST_FPERIOD_OVERRIDE=FY","FILING_STATUS=MR","SCALING_FORMAT=MLN","Sort=A","Dates=H","DateFormat=P","Fill=—","Direction=H","UseDPDF=Y")</f>
        <v>132480</v>
      </c>
      <c r="H88" s="12">
        <f>_xll.BDH("AAPL US Equity","SHORT_AND_LONG_TERM_DEBT","FY 2023","FY 2023","Currency=USD","Period=FY","BEST_FPERIOD_OVERRIDE=FY","FILING_STATUS=MR","SCALING_FORMAT=MLN","Sort=A","Dates=H","DateFormat=P","Fill=—","Direction=H","UseDPDF=Y")</f>
        <v>123930</v>
      </c>
      <c r="I88" s="12">
        <f>_xll.BDH("AAPL US Equity","SHORT_AND_LONG_TERM_DEBT","FY 2024","FY 2024","Currency=USD","Period=FY","BEST_FPERIOD_OVERRIDE=FY","FILING_STATUS=MR","SCALING_FORMAT=MLN","Sort=A","Dates=H","DateFormat=P","Fill=—","Direction=H","UseDPDF=Y")</f>
        <v>119059</v>
      </c>
      <c r="J88" s="14">
        <v>101698</v>
      </c>
      <c r="K88" s="12"/>
      <c r="L88" s="12"/>
    </row>
    <row r="89" spans="1:12" x14ac:dyDescent="0.25">
      <c r="A89" s="10" t="s">
        <v>149</v>
      </c>
      <c r="B89" s="10" t="s">
        <v>150</v>
      </c>
      <c r="C89" s="13">
        <f>_xll.BDH("AAPL US Equity","ASSET_TURNOVER","FY 2018","FY 2018","Currency=USD","Period=FY","BEST_FPERIOD_OVERRIDE=FY","FILING_STATUS=MR","FA_ADJUSTED=GAAP","Sort=A","Dates=H","DateFormat=P","Fill=—","Direction=H","UseDPDF=Y")</f>
        <v>0.71679999999999999</v>
      </c>
      <c r="D89" s="13">
        <f>_xll.BDH("AAPL US Equity","ASSET_TURNOVER","FY 2019","FY 2019","Currency=USD","Period=FY","BEST_FPERIOD_OVERRIDE=FY","FILING_STATUS=MR","FA_ADJUSTED=GAAP","Sort=A","Dates=H","DateFormat=P","Fill=—","Direction=H","UseDPDF=Y")</f>
        <v>0.7389</v>
      </c>
      <c r="E89" s="13">
        <f>_xll.BDH("AAPL US Equity","ASSET_TURNOVER","FY 2020","FY 2020","Currency=USD","Period=FY","BEST_FPERIOD_OVERRIDE=FY","FILING_STATUS=MR","FA_ADJUSTED=GAAP","Sort=A","Dates=H","DateFormat=P","Fill=—","Direction=H","UseDPDF=Y")</f>
        <v>0.82879999999999998</v>
      </c>
      <c r="F89" s="13">
        <f>_xll.BDH("AAPL US Equity","ASSET_TURNOVER","FY 2021","FY 2021","Currency=USD","Period=FY","BEST_FPERIOD_OVERRIDE=FY","FILING_STATUS=MR","FA_ADJUSTED=GAAP","Sort=A","Dates=H","DateFormat=P","Fill=—","Direction=H","UseDPDF=Y")</f>
        <v>1.0841000000000001</v>
      </c>
      <c r="G89" s="13">
        <f>_xll.BDH("AAPL US Equity","ASSET_TURNOVER","FY 2022","FY 2022","Currency=USD","Period=FY","BEST_FPERIOD_OVERRIDE=FY","FILING_STATUS=MR","FA_ADJUSTED=GAAP","Sort=A","Dates=H","DateFormat=P","Fill=—","Direction=H","UseDPDF=Y")</f>
        <v>1.1206</v>
      </c>
      <c r="H89" s="13">
        <f>_xll.BDH("AAPL US Equity","ASSET_TURNOVER","FY 2023","FY 2023","Currency=USD","Period=FY","BEST_FPERIOD_OVERRIDE=FY","FILING_STATUS=MR","FA_ADJUSTED=GAAP","Sort=A","Dates=H","DateFormat=P","Fill=—","Direction=H","UseDPDF=Y")</f>
        <v>1.0868</v>
      </c>
      <c r="I89" s="13">
        <f>_xll.BDH("AAPL US Equity","ASSET_TURNOVER","FY 2024","FY 2024","Currency=USD","Period=FY","BEST_FPERIOD_OVERRIDE=FY","FILING_STATUS=MR","FA_ADJUSTED=GAAP","Sort=A","Dates=H","DateFormat=P","Fill=—","Direction=H","UseDPDF=Y")</f>
        <v>1.0899000000000001</v>
      </c>
      <c r="J89" s="15">
        <v>1.2324556971951699</v>
      </c>
      <c r="K89" s="13"/>
      <c r="L89" s="13"/>
    </row>
    <row r="90" spans="1:12" x14ac:dyDescent="0.25">
      <c r="A90" s="10" t="s">
        <v>151</v>
      </c>
      <c r="B90" s="10" t="s">
        <v>152</v>
      </c>
      <c r="C90" s="13">
        <f>_xll.BDH("AAPL US Equity","CHG_IN_RET_EARN_TO_PREV_YR_EQ","FY 2018","FY 2018","Currency=USD","Period=FY","BEST_FPERIOD_OVERRIDE=FY","FILING_STATUS=MR","Sort=A","Dates=H","DateFormat=P","Fill=—","Direction=H","UseDPDF=Y")</f>
        <v>-20.835999999999999</v>
      </c>
      <c r="D90" s="13">
        <f>_xll.BDH("AAPL US Equity","CHG_IN_RET_EARN_TO_PREV_YR_EQ","FY 2019","FY 2019","Currency=USD","Period=FY","BEST_FPERIOD_OVERRIDE=FY","FILING_STATUS=MR","Sort=A","Dates=H","DateFormat=P","Fill=—","Direction=H","UseDPDF=Y")</f>
        <v>-22.867599999999999</v>
      </c>
      <c r="E90" s="13">
        <f>_xll.BDH("AAPL US Equity","CHG_IN_RET_EARN_TO_PREV_YR_EQ","FY 2020","FY 2020","Currency=USD","Period=FY","BEST_FPERIOD_OVERRIDE=FY","FILING_STATUS=MR","Sort=A","Dates=H","DateFormat=P","Fill=—","Direction=H","UseDPDF=Y")</f>
        <v>-34.183500000000002</v>
      </c>
      <c r="F90" s="13">
        <f>_xll.BDH("AAPL US Equity","CHG_IN_RET_EARN_TO_PREV_YR_EQ","FY 2021","FY 2021","Currency=USD","Period=FY","BEST_FPERIOD_OVERRIDE=FY","FILING_STATUS=MR","Sort=A","Dates=H","DateFormat=P","Fill=—","Direction=H","UseDPDF=Y")</f>
        <v>-14.3926</v>
      </c>
      <c r="G90" s="13">
        <f>_xll.BDH("AAPL US Equity","CHG_IN_RET_EARN_TO_PREV_YR_EQ","FY 2022","FY 2022","Currency=USD","Period=FY","BEST_FPERIOD_OVERRIDE=FY","FILING_STATUS=MR","Sort=A","Dates=H","DateFormat=P","Fill=—","Direction=H","UseDPDF=Y")</f>
        <v>-13.678900000000001</v>
      </c>
      <c r="H90" s="13">
        <f>_xll.BDH("AAPL US Equity","CHG_IN_RET_EARN_TO_PREV_YR_EQ","FY 2023","FY 2023","Currency=USD","Period=FY","BEST_FPERIOD_OVERRIDE=FY","FILING_STATUS=MR","Sort=A","Dates=H","DateFormat=P","Fill=—","Direction=H","UseDPDF=Y")</f>
        <v>5.6322999999999999</v>
      </c>
      <c r="I90" s="13">
        <f>_xll.BDH("AAPL US Equity","CHG_IN_RET_EARN_TO_PREV_YR_EQ","FY 2024","FY 2024","Currency=USD","Period=FY","BEST_FPERIOD_OVERRIDE=FY","FILING_STATUS=MR","Sort=A","Dates=H","DateFormat=P","Fill=—","Direction=H","UseDPDF=Y")</f>
        <v>-30.476600000000001</v>
      </c>
      <c r="J90" s="15">
        <v>-3.0765315288340598</v>
      </c>
      <c r="K90" s="13"/>
      <c r="L90" s="13"/>
    </row>
    <row r="91" spans="1:12" x14ac:dyDescent="0.25">
      <c r="A91" s="10" t="s">
        <v>153</v>
      </c>
      <c r="B91" s="10" t="s">
        <v>154</v>
      </c>
      <c r="C91" s="13">
        <f>_xll.BDH("AAPL US Equity","RETENTION_RATIO","FY 2018","FY 2018","Currency=USD","Period=FY","BEST_FPERIOD_OVERRIDE=FY","FILING_STATUS=MR","FA_ADJUSTED=GAAP","Sort=A","Dates=H","DateFormat=P","Fill=—","Direction=H","UseDPDF=Y")</f>
        <v>77.358599999999996</v>
      </c>
      <c r="D91" s="13">
        <f>_xll.BDH("AAPL US Equity","RETENTION_RATIO","FY 2019","FY 2019","Currency=USD","Period=FY","BEST_FPERIOD_OVERRIDE=FY","FILING_STATUS=MR","FA_ADJUSTED=GAAP","Sort=A","Dates=H","DateFormat=P","Fill=—","Direction=H","UseDPDF=Y")</f>
        <v>74.9285</v>
      </c>
      <c r="E91" s="13">
        <f>_xll.BDH("AAPL US Equity","RETENTION_RATIO","FY 2020","FY 2020","Currency=USD","Period=FY","BEST_FPERIOD_OVERRIDE=FY","FILING_STATUS=MR","FA_ADJUSTED=GAAP","Sort=A","Dates=H","DateFormat=P","Fill=—","Direction=H","UseDPDF=Y")</f>
        <v>75.971599999999995</v>
      </c>
      <c r="F91" s="13">
        <f>_xll.BDH("AAPL US Equity","RETENTION_RATIO","FY 2021","FY 2021","Currency=USD","Period=FY","BEST_FPERIOD_OVERRIDE=FY","FILING_STATUS=MR","FA_ADJUSTED=GAAP","Sort=A","Dates=H","DateFormat=P","Fill=—","Direction=H","UseDPDF=Y")</f>
        <v>84.741699999999994</v>
      </c>
      <c r="G91" s="13">
        <f>_xll.BDH("AAPL US Equity","RETENTION_RATIO","FY 2022","FY 2022","Currency=USD","Period=FY","BEST_FPERIOD_OVERRIDE=FY","FILING_STATUS=MR","FA_ADJUSTED=GAAP","Sort=A","Dates=H","DateFormat=P","Fill=—","Direction=H","UseDPDF=Y")</f>
        <v>85.376800000000003</v>
      </c>
      <c r="H91" s="13">
        <f>_xll.BDH("AAPL US Equity","RETENTION_RATIO","FY 2023","FY 2023","Currency=USD","Period=FY","BEST_FPERIOD_OVERRIDE=FY","FILING_STATUS=MR","FA_ADJUSTED=GAAP","Sort=A","Dates=H","DateFormat=P","Fill=—","Direction=H","UseDPDF=Y")</f>
        <v>84.741900000000001</v>
      </c>
      <c r="I91" s="13">
        <f>_xll.BDH("AAPL US Equity","RETENTION_RATIO","FY 2024","FY 2024","Currency=USD","Period=FY","BEST_FPERIOD_OVERRIDE=FY","FILING_STATUS=MR","FA_ADJUSTED=GAAP","Sort=A","Dates=H","DateFormat=P","Fill=—","Direction=H","UseDPDF=Y")</f>
        <v>83.958200000000005</v>
      </c>
      <c r="J91" s="15">
        <v>83.465262609883098</v>
      </c>
      <c r="K91" s="13"/>
      <c r="L91" s="13"/>
    </row>
    <row r="92" spans="1:12" x14ac:dyDescent="0.25">
      <c r="A92" s="10" t="s">
        <v>155</v>
      </c>
      <c r="B92" s="10" t="s">
        <v>156</v>
      </c>
      <c r="C92" s="13">
        <f>_xll.BDH("AAPL US Equity","RETAIN_EARN_TO_TOT_ASSET","FY 2018","FY 2018","Currency=USD","Period=FY","BEST_FPERIOD_OVERRIDE=FY","FILING_STATUS=MR","Sort=A","Dates=H","DateFormat=P","Fill=—","Direction=H","UseDPDF=Y")</f>
        <v>18.305</v>
      </c>
      <c r="D92" s="13">
        <f>_xll.BDH("AAPL US Equity","RETAIN_EARN_TO_TOT_ASSET","FY 2019","FY 2019","Currency=USD","Period=FY","BEST_FPERIOD_OVERRIDE=FY","FILING_STATUS=MR","Sort=A","Dates=H","DateFormat=P","Fill=—","Direction=H","UseDPDF=Y")</f>
        <v>13.386100000000001</v>
      </c>
      <c r="E92" s="13">
        <f>_xll.BDH("AAPL US Equity","RETAIN_EARN_TO_TOT_ASSET","FY 2020","FY 2020","Currency=USD","Period=FY","BEST_FPERIOD_OVERRIDE=FY","FILING_STATUS=MR","Sort=A","Dates=H","DateFormat=P","Fill=—","Direction=H","UseDPDF=Y")</f>
        <v>4.4954000000000001</v>
      </c>
      <c r="F92" s="13">
        <f>_xll.BDH("AAPL US Equity","RETAIN_EARN_TO_TOT_ASSET","FY 2021","FY 2021","Currency=USD","Period=FY","BEST_FPERIOD_OVERRIDE=FY","FILING_STATUS=MR","Sort=A","Dates=H","DateFormat=P","Fill=—","Direction=H","UseDPDF=Y")</f>
        <v>1.631</v>
      </c>
      <c r="G92" s="13">
        <f>_xll.BDH("AAPL US Equity","RETAIN_EARN_TO_TOT_ASSET","FY 2022","FY 2022","Currency=USD","Period=FY","BEST_FPERIOD_OVERRIDE=FY","FILING_STATUS=MR","Sort=A","Dates=H","DateFormat=P","Fill=—","Direction=H","UseDPDF=Y")</f>
        <v>-4.0189000000000004</v>
      </c>
      <c r="H92" s="13">
        <f>_xll.BDH("AAPL US Equity","RETAIN_EARN_TO_TOT_ASSET","FY 2023","FY 2023","Currency=USD","Period=FY","BEST_FPERIOD_OVERRIDE=FY","FILING_STATUS=MR","Sort=A","Dates=H","DateFormat=P","Fill=—","Direction=H","UseDPDF=Y")</f>
        <v>-3.3087</v>
      </c>
      <c r="I92" s="13">
        <f>_xll.BDH("AAPL US Equity","RETAIN_EARN_TO_TOT_ASSET","FY 2024","FY 2024","Currency=USD","Period=FY","BEST_FPERIOD_OVERRIDE=FY","FILING_STATUS=MR","Sort=A","Dates=H","DateFormat=P","Fill=—","Direction=H","UseDPDF=Y")</f>
        <v>-7.2130000000000001</v>
      </c>
      <c r="J92" s="15">
        <v>-7.2326882758412596</v>
      </c>
      <c r="K92" s="13"/>
      <c r="L92" s="13"/>
    </row>
    <row r="93" spans="1:12" x14ac:dyDescent="0.25">
      <c r="A93" s="10" t="s">
        <v>157</v>
      </c>
      <c r="B93" s="10" t="s">
        <v>158</v>
      </c>
      <c r="C93" s="13">
        <f>_xll.BDH("AAPL US Equity","CAP_EXPEND_TO_SALES","FY 2018","FY 2018","Currency=USD","Period=FY","BEST_FPERIOD_OVERRIDE=FY","FILING_STATUS=MR","FA_ADJUSTED=GAAP","Sort=A","Dates=H","DateFormat=P","Fill=—","Direction=H","UseDPDF=Y")</f>
        <v>5.0125000000000002</v>
      </c>
      <c r="D93" s="13">
        <f>_xll.BDH("AAPL US Equity","CAP_EXPEND_TO_SALES","FY 2019","FY 2019","Currency=USD","Period=FY","BEST_FPERIOD_OVERRIDE=FY","FILING_STATUS=MR","FA_ADJUSTED=GAAP","Sort=A","Dates=H","DateFormat=P","Fill=—","Direction=H","UseDPDF=Y")</f>
        <v>4.0338000000000003</v>
      </c>
      <c r="E93" s="13">
        <f>_xll.BDH("AAPL US Equity","CAP_EXPEND_TO_SALES","FY 2020","FY 2020","Currency=USD","Period=FY","BEST_FPERIOD_OVERRIDE=FY","FILING_STATUS=MR","FA_ADJUSTED=GAAP","Sort=A","Dates=H","DateFormat=P","Fill=—","Direction=H","UseDPDF=Y")</f>
        <v>2.6625000000000001</v>
      </c>
      <c r="F93" s="13">
        <f>_xll.BDH("AAPL US Equity","CAP_EXPEND_TO_SALES","FY 2021","FY 2021","Currency=USD","Period=FY","BEST_FPERIOD_OVERRIDE=FY","FILING_STATUS=MR","FA_ADJUSTED=GAAP","Sort=A","Dates=H","DateFormat=P","Fill=—","Direction=H","UseDPDF=Y")</f>
        <v>3.0301999999999998</v>
      </c>
      <c r="G93" s="13">
        <f>_xll.BDH("AAPL US Equity","CAP_EXPEND_TO_SALES","FY 2022","FY 2022","Currency=USD","Period=FY","BEST_FPERIOD_OVERRIDE=FY","FILING_STATUS=MR","FA_ADJUSTED=GAAP","Sort=A","Dates=H","DateFormat=P","Fill=—","Direction=H","UseDPDF=Y")</f>
        <v>2.7155</v>
      </c>
      <c r="H93" s="13">
        <f>_xll.BDH("AAPL US Equity","CAP_EXPEND_TO_SALES","FY 2023","FY 2023","Currency=USD","Period=FY","BEST_FPERIOD_OVERRIDE=FY","FILING_STATUS=MR","FA_ADJUSTED=GAAP","Sort=A","Dates=H","DateFormat=P","Fill=—","Direction=H","UseDPDF=Y")</f>
        <v>2.8592</v>
      </c>
      <c r="I93" s="13">
        <f>_xll.BDH("AAPL US Equity","CAP_EXPEND_TO_SALES","FY 2024","FY 2024","Currency=USD","Period=FY","BEST_FPERIOD_OVERRIDE=FY","FILING_STATUS=MR","FA_ADJUSTED=GAAP","Sort=A","Dates=H","DateFormat=P","Fill=—","Direction=H","UseDPDF=Y")</f>
        <v>2.4159000000000002</v>
      </c>
      <c r="J93" s="15">
        <v>3.6815687609000798</v>
      </c>
      <c r="K93" s="13"/>
      <c r="L93" s="13"/>
    </row>
    <row r="94" spans="1:12" x14ac:dyDescent="0.25">
      <c r="A94" s="10" t="s">
        <v>159</v>
      </c>
      <c r="B94" s="10" t="s">
        <v>160</v>
      </c>
      <c r="C94" s="13">
        <f>_xll.BDH("AAPL US Equity","TRAILING_12M_R&amp;D_%_SALES","FY 2018","FY 2018","Currency=USD","Period=FY","BEST_FPERIOD_OVERRIDE=FY","FILING_STATUS=MR","FA_ADJUSTED=GAAP","Sort=A","Dates=H","DateFormat=P","Fill=—","Direction=H","UseDPDF=Y")</f>
        <v>5.36</v>
      </c>
      <c r="D94" s="13">
        <f>_xll.BDH("AAPL US Equity","TRAILING_12M_R&amp;D_%_SALES","FY 2019","FY 2019","Currency=USD","Period=FY","BEST_FPERIOD_OVERRIDE=FY","FILING_STATUS=MR","FA_ADJUSTED=GAAP","Sort=A","Dates=H","DateFormat=P","Fill=—","Direction=H","UseDPDF=Y")</f>
        <v>6.2331000000000003</v>
      </c>
      <c r="E94" s="13">
        <f>_xll.BDH("AAPL US Equity","TRAILING_12M_R&amp;D_%_SALES","FY 2020","FY 2020","Currency=USD","Period=FY","BEST_FPERIOD_OVERRIDE=FY","FILING_STATUS=MR","FA_ADJUSTED=GAAP","Sort=A","Dates=H","DateFormat=P","Fill=—","Direction=H","UseDPDF=Y")</f>
        <v>6.8310000000000004</v>
      </c>
      <c r="F94" s="13">
        <f>_xll.BDH("AAPL US Equity","TRAILING_12M_R&amp;D_%_SALES","FY 2021","FY 2021","Currency=USD","Period=FY","BEST_FPERIOD_OVERRIDE=FY","FILING_STATUS=MR","FA_ADJUSTED=GAAP","Sort=A","Dates=H","DateFormat=P","Fill=—","Direction=H","UseDPDF=Y")</f>
        <v>5.9904000000000002</v>
      </c>
      <c r="G94" s="13">
        <f>_xll.BDH("AAPL US Equity","TRAILING_12M_R&amp;D_%_SALES","FY 2022","FY 2022","Currency=USD","Period=FY","BEST_FPERIOD_OVERRIDE=FY","FILING_STATUS=MR","FA_ADJUSTED=GAAP","Sort=A","Dates=H","DateFormat=P","Fill=—","Direction=H","UseDPDF=Y")</f>
        <v>6.6570999999999998</v>
      </c>
      <c r="H94" s="13">
        <f>_xll.BDH("AAPL US Equity","TRAILING_12M_R&amp;D_%_SALES","FY 2023","FY 2023","Currency=USD","Period=FY","BEST_FPERIOD_OVERRIDE=FY","FILING_STATUS=MR","FA_ADJUSTED=GAAP","Sort=A","Dates=H","DateFormat=P","Fill=—","Direction=H","UseDPDF=Y")</f>
        <v>7.8048999999999999</v>
      </c>
      <c r="I94" s="13">
        <f>_xll.BDH("AAPL US Equity","TRAILING_12M_R&amp;D_%_SALES","FY 2024","FY 2024","Currency=USD","Period=FY","BEST_FPERIOD_OVERRIDE=FY","FILING_STATUS=MR","FA_ADJUSTED=GAAP","Sort=A","Dates=H","DateFormat=P","Fill=—","Direction=H","UseDPDF=Y")</f>
        <v>8.0222999999999995</v>
      </c>
      <c r="J94" s="15">
        <v>8.1857448761089007</v>
      </c>
      <c r="K94" s="13"/>
      <c r="L94" s="13"/>
    </row>
    <row r="95" spans="1:12" x14ac:dyDescent="0.25">
      <c r="A95" s="6"/>
      <c r="B95" s="16"/>
      <c r="C95" s="16"/>
      <c r="D95" s="16"/>
      <c r="E95" s="16"/>
      <c r="F95" s="16"/>
      <c r="G95" s="16"/>
      <c r="H95" s="16"/>
      <c r="I95" s="16"/>
      <c r="J95" s="17"/>
      <c r="K95" s="16"/>
      <c r="L95" s="16"/>
    </row>
    <row r="96" spans="1:12" x14ac:dyDescent="0.25">
      <c r="A96" s="6" t="s">
        <v>161</v>
      </c>
      <c r="B96" s="16"/>
      <c r="C96" s="16"/>
      <c r="D96" s="16"/>
      <c r="E96" s="16"/>
      <c r="F96" s="16"/>
      <c r="G96" s="16"/>
      <c r="H96" s="16"/>
      <c r="I96" s="16"/>
      <c r="J96" s="17"/>
      <c r="K96" s="16"/>
      <c r="L96" s="16"/>
    </row>
    <row r="97" spans="1:12" x14ac:dyDescent="0.25">
      <c r="A97" s="10" t="s">
        <v>64</v>
      </c>
      <c r="B97" s="10" t="s">
        <v>65</v>
      </c>
      <c r="C97" s="12">
        <f>_xll.BDH("AAPL US Equity","CAPITAL_EXPEND","FY 2018","FY 2018","Currency=USD","Period=FY","BEST_FPERIOD_OVERRIDE=FY","FILING_STATUS=MR","SCALING_FORMAT=MLN","Sort=A","Dates=H","DateFormat=P","Fill=—","Direction=H","UseDPDF=Y")</f>
        <v>-13313</v>
      </c>
      <c r="D97" s="12">
        <f>_xll.BDH("AAPL US Equity","CAPITAL_EXPEND","FY 2019","FY 2019","Currency=USD","Period=FY","BEST_FPERIOD_OVERRIDE=FY","FILING_STATUS=MR","SCALING_FORMAT=MLN","Sort=A","Dates=H","DateFormat=P","Fill=—","Direction=H","UseDPDF=Y")</f>
        <v>-10495</v>
      </c>
      <c r="E97" s="12">
        <f>_xll.BDH("AAPL US Equity","CAPITAL_EXPEND","FY 2020","FY 2020","Currency=USD","Period=FY","BEST_FPERIOD_OVERRIDE=FY","FILING_STATUS=MR","SCALING_FORMAT=MLN","Sort=A","Dates=H","DateFormat=P","Fill=—","Direction=H","UseDPDF=Y")</f>
        <v>-7309</v>
      </c>
      <c r="F97" s="12">
        <f>_xll.BDH("AAPL US Equity","CAPITAL_EXPEND","FY 2021","FY 2021","Currency=USD","Period=FY","BEST_FPERIOD_OVERRIDE=FY","FILING_STATUS=MR","SCALING_FORMAT=MLN","Sort=A","Dates=H","DateFormat=P","Fill=—","Direction=H","UseDPDF=Y")</f>
        <v>-11085</v>
      </c>
      <c r="G97" s="12">
        <f>_xll.BDH("AAPL US Equity","CAPITAL_EXPEND","FY 2022","FY 2022","Currency=USD","Period=FY","BEST_FPERIOD_OVERRIDE=FY","FILING_STATUS=MR","SCALING_FORMAT=MLN","Sort=A","Dates=H","DateFormat=P","Fill=—","Direction=H","UseDPDF=Y")</f>
        <v>-10708</v>
      </c>
      <c r="H97" s="12">
        <f>_xll.BDH("AAPL US Equity","CAPITAL_EXPEND","FY 2023","FY 2023","Currency=USD","Period=FY","BEST_FPERIOD_OVERRIDE=FY","FILING_STATUS=MR","SCALING_FORMAT=MLN","Sort=A","Dates=H","DateFormat=P","Fill=—","Direction=H","UseDPDF=Y")</f>
        <v>-10959</v>
      </c>
      <c r="I97" s="12">
        <f>_xll.BDH("AAPL US Equity","CAPITAL_EXPEND","FY 2024","FY 2024","Currency=USD","Period=FY","BEST_FPERIOD_OVERRIDE=FY","FILING_STATUS=MR","SCALING_FORMAT=MLN","Sort=A","Dates=H","DateFormat=P","Fill=—","Direction=H","UseDPDF=Y")</f>
        <v>-9447</v>
      </c>
      <c r="J97" s="14">
        <v>-12381</v>
      </c>
      <c r="K97" s="12">
        <v>-12563.962</v>
      </c>
      <c r="L97" s="12">
        <v>-15077.852000000001</v>
      </c>
    </row>
    <row r="98" spans="1:12" x14ac:dyDescent="0.25">
      <c r="A98" s="10" t="s">
        <v>162</v>
      </c>
      <c r="B98" s="10" t="s">
        <v>163</v>
      </c>
      <c r="C98" s="12">
        <f>_xll.BDH("AAPL US Equity","CF_DEPR_AMORT","FY 2018","FY 2018","Currency=USD","Period=FY","BEST_FPERIOD_OVERRIDE=FY","FILING_STATUS=MR","SCALING_FORMAT=MLN","Sort=A","Dates=H","DateFormat=P","Fill=—","Direction=H","UseDPDF=Y")</f>
        <v>10903</v>
      </c>
      <c r="D98" s="12">
        <f>_xll.BDH("AAPL US Equity","CF_DEPR_AMORT","FY 2019","FY 2019","Currency=USD","Period=FY","BEST_FPERIOD_OVERRIDE=FY","FILING_STATUS=MR","SCALING_FORMAT=MLN","Sort=A","Dates=H","DateFormat=P","Fill=—","Direction=H","UseDPDF=Y")</f>
        <v>12547</v>
      </c>
      <c r="E98" s="12">
        <f>_xll.BDH("AAPL US Equity","CF_DEPR_AMORT","FY 2020","FY 2020","Currency=USD","Period=FY","BEST_FPERIOD_OVERRIDE=FY","FILING_STATUS=MR","SCALING_FORMAT=MLN","Sort=A","Dates=H","DateFormat=P","Fill=—","Direction=H","UseDPDF=Y")</f>
        <v>11056</v>
      </c>
      <c r="F98" s="12">
        <f>_xll.BDH("AAPL US Equity","CF_DEPR_AMORT","FY 2021","FY 2021","Currency=USD","Period=FY","BEST_FPERIOD_OVERRIDE=FY","FILING_STATUS=MR","SCALING_FORMAT=MLN","Sort=A","Dates=H","DateFormat=P","Fill=—","Direction=H","UseDPDF=Y")</f>
        <v>11284</v>
      </c>
      <c r="G98" s="12">
        <f>_xll.BDH("AAPL US Equity","CF_DEPR_AMORT","FY 2022","FY 2022","Currency=USD","Period=FY","BEST_FPERIOD_OVERRIDE=FY","FILING_STATUS=MR","SCALING_FORMAT=MLN","Sort=A","Dates=H","DateFormat=P","Fill=—","Direction=H","UseDPDF=Y")</f>
        <v>11104</v>
      </c>
      <c r="H98" s="12">
        <f>_xll.BDH("AAPL US Equity","CF_DEPR_AMORT","FY 2023","FY 2023","Currency=USD","Period=FY","BEST_FPERIOD_OVERRIDE=FY","FILING_STATUS=MR","SCALING_FORMAT=MLN","Sort=A","Dates=H","DateFormat=P","Fill=—","Direction=H","UseDPDF=Y")</f>
        <v>11519</v>
      </c>
      <c r="I98" s="12">
        <f>_xll.BDH("AAPL US Equity","CF_DEPR_AMORT","FY 2024","FY 2024","Currency=USD","Period=FY","BEST_FPERIOD_OVERRIDE=FY","FILING_STATUS=MR","SCALING_FORMAT=MLN","Sort=A","Dates=H","DateFormat=P","Fill=—","Direction=H","UseDPDF=Y")</f>
        <v>11445</v>
      </c>
      <c r="J98" s="14">
        <v>11482</v>
      </c>
      <c r="K98" s="12"/>
      <c r="L98" s="12"/>
    </row>
    <row r="99" spans="1:12" x14ac:dyDescent="0.25">
      <c r="A99" s="10" t="s">
        <v>164</v>
      </c>
      <c r="B99" s="10" t="s">
        <v>165</v>
      </c>
      <c r="C99" s="13">
        <f>_xll.BDH("AAPL US Equity","CAPEX_TO_DEPR_EXPN_RATIO","FY 2018","FY 2018","Currency=USD","Period=FY","BEST_FPERIOD_OVERRIDE=FY","FILING_STATUS=MR","Sort=A","Dates=H","DateFormat=P","Fill=—","Direction=H","UseDPDF=Y")</f>
        <v>1.2210000000000001</v>
      </c>
      <c r="D99" s="13">
        <f>_xll.BDH("AAPL US Equity","CAPEX_TO_DEPR_EXPN_RATIO","FY 2019","FY 2019","Currency=USD","Period=FY","BEST_FPERIOD_OVERRIDE=FY","FILING_STATUS=MR","Sort=A","Dates=H","DateFormat=P","Fill=—","Direction=H","UseDPDF=Y")</f>
        <v>0.83650000000000002</v>
      </c>
      <c r="E99" s="13">
        <f>_xll.BDH("AAPL US Equity","CAPEX_TO_DEPR_EXPN_RATIO","FY 2020","FY 2020","Currency=USD","Period=FY","BEST_FPERIOD_OVERRIDE=FY","FILING_STATUS=MR","Sort=A","Dates=H","DateFormat=P","Fill=—","Direction=H","UseDPDF=Y")</f>
        <v>0.66110000000000002</v>
      </c>
      <c r="F99" s="13">
        <f>_xll.BDH("AAPL US Equity","CAPEX_TO_DEPR_EXPN_RATIO","FY 2021","FY 2021","Currency=USD","Period=FY","BEST_FPERIOD_OVERRIDE=FY","FILING_STATUS=MR","Sort=A","Dates=H","DateFormat=P","Fill=—","Direction=H","UseDPDF=Y")</f>
        <v>0.98240000000000005</v>
      </c>
      <c r="G99" s="13">
        <f>_xll.BDH("AAPL US Equity","CAPEX_TO_DEPR_EXPN_RATIO","FY 2022","FY 2022","Currency=USD","Period=FY","BEST_FPERIOD_OVERRIDE=FY","FILING_STATUS=MR","Sort=A","Dates=H","DateFormat=P","Fill=—","Direction=H","UseDPDF=Y")</f>
        <v>0.96430000000000005</v>
      </c>
      <c r="H99" s="13">
        <f>_xll.BDH("AAPL US Equity","CAPEX_TO_DEPR_EXPN_RATIO","FY 2023","FY 2023","Currency=USD","Period=FY","BEST_FPERIOD_OVERRIDE=FY","FILING_STATUS=MR","Sort=A","Dates=H","DateFormat=P","Fill=—","Direction=H","UseDPDF=Y")</f>
        <v>0.95140000000000002</v>
      </c>
      <c r="I99" s="13">
        <f>_xll.BDH("AAPL US Equity","CAPEX_TO_DEPR_EXPN_RATIO","FY 2024","FY 2024","Currency=USD","Period=FY","BEST_FPERIOD_OVERRIDE=FY","FILING_STATUS=MR","Sort=A","Dates=H","DateFormat=P","Fill=—","Direction=H","UseDPDF=Y")</f>
        <v>0.82540000000000002</v>
      </c>
      <c r="J99" s="15">
        <v>1.22332155477032</v>
      </c>
      <c r="K99" s="13"/>
      <c r="L99" s="13"/>
    </row>
    <row r="100" spans="1:12" x14ac:dyDescent="0.25">
      <c r="A100" s="10" t="s">
        <v>166</v>
      </c>
      <c r="B100" s="10" t="s">
        <v>167</v>
      </c>
      <c r="C100" s="13">
        <f>_xll.BDH("AAPL US Equity","5Y_AVG_CAPEX_TO_DEPR_EXPN","FY 2018","FY 2018","Currency=USD","Period=FY","BEST_FPERIOD_OVERRIDE=FY","FILING_STATUS=MR","Sort=A","Dates=H","DateFormat=P","Fill=—","Direction=H","UseDPDF=Y")</f>
        <v>1.3767</v>
      </c>
      <c r="D100" s="13">
        <f>_xll.BDH("AAPL US Equity","5Y_AVG_CAPEX_TO_DEPR_EXPN","FY 2019","FY 2019","Currency=USD","Period=FY","BEST_FPERIOD_OVERRIDE=FY","FILING_STATUS=MR","Sort=A","Dates=H","DateFormat=P","Fill=—","Direction=H","UseDPDF=Y")</f>
        <v>1.2665</v>
      </c>
      <c r="E100" s="13">
        <f>_xll.BDH("AAPL US Equity","5Y_AVG_CAPEX_TO_DEPR_EXPN","FY 2020","FY 2020","Currency=USD","Period=FY","BEST_FPERIOD_OVERRIDE=FY","FILING_STATUS=MR","Sort=A","Dates=H","DateFormat=P","Fill=—","Direction=H","UseDPDF=Y")</f>
        <v>1.1541999999999999</v>
      </c>
      <c r="F100" s="13">
        <f>_xll.BDH("AAPL US Equity","5Y_AVG_CAPEX_TO_DEPR_EXPN","FY 2021","FY 2021","Currency=USD","Period=FY","BEST_FPERIOD_OVERRIDE=FY","FILING_STATUS=MR","Sort=A","Dates=H","DateFormat=P","Fill=—","Direction=H","UseDPDF=Y")</f>
        <v>1.0439000000000001</v>
      </c>
      <c r="G100" s="13">
        <f>_xll.BDH("AAPL US Equity","5Y_AVG_CAPEX_TO_DEPR_EXPN","FY 2022","FY 2022","Currency=USD","Period=FY","BEST_FPERIOD_OVERRIDE=FY","FILING_STATUS=MR","Sort=A","Dates=H","DateFormat=P","Fill=—","Direction=H","UseDPDF=Y")</f>
        <v>0.93310000000000004</v>
      </c>
      <c r="H100" s="13">
        <f>_xll.BDH("AAPL US Equity","5Y_AVG_CAPEX_TO_DEPR_EXPN","FY 2023","FY 2023","Currency=USD","Period=FY","BEST_FPERIOD_OVERRIDE=FY","FILING_STATUS=MR","Sort=A","Dates=H","DateFormat=P","Fill=—","Direction=H","UseDPDF=Y")</f>
        <v>0.87909999999999999</v>
      </c>
      <c r="I100" s="13">
        <f>_xll.BDH("AAPL US Equity","5Y_AVG_CAPEX_TO_DEPR_EXPN","FY 2024","FY 2024","Currency=USD","Period=FY","BEST_FPERIOD_OVERRIDE=FY","FILING_STATUS=MR","Sort=A","Dates=H","DateFormat=P","Fill=—","Direction=H","UseDPDF=Y")</f>
        <v>0.87690000000000001</v>
      </c>
      <c r="J100" s="15">
        <v>1.0171301384481699</v>
      </c>
      <c r="K100" s="13"/>
      <c r="L100" s="13"/>
    </row>
    <row r="101" spans="1:12" x14ac:dyDescent="0.25">
      <c r="A101" s="6"/>
      <c r="B101" s="16"/>
      <c r="C101" s="16"/>
      <c r="D101" s="16"/>
      <c r="E101" s="16"/>
      <c r="F101" s="16"/>
      <c r="G101" s="16"/>
      <c r="H101" s="16"/>
      <c r="I101" s="16"/>
      <c r="J101" s="17"/>
      <c r="K101" s="16"/>
      <c r="L101" s="16"/>
    </row>
    <row r="102" spans="1:12" x14ac:dyDescent="0.25">
      <c r="A102" s="7" t="s">
        <v>168</v>
      </c>
      <c r="B102" s="7"/>
      <c r="C102" s="7" t="s">
        <v>2</v>
      </c>
      <c r="D102" s="7"/>
      <c r="E102" s="7"/>
      <c r="F102" s="7"/>
      <c r="G102" s="7"/>
      <c r="H102" s="7"/>
      <c r="I102" s="7"/>
      <c r="J102" s="7"/>
      <c r="K102" s="7"/>
      <c r="L10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AGT Partners</cp:lastModifiedBy>
  <dcterms:created xsi:type="dcterms:W3CDTF">2013-04-03T15:49:21Z</dcterms:created>
  <dcterms:modified xsi:type="dcterms:W3CDTF">2025-09-04T09:23:10Z</dcterms:modified>
</cp:coreProperties>
</file>